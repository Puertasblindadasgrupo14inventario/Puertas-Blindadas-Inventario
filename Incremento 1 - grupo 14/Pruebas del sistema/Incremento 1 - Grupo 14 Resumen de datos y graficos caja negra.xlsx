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ara\Downloads\"/>
    </mc:Choice>
  </mc:AlternateContent>
  <xr:revisionPtr revIDLastSave="0" documentId="13_ncr:1_{A48C189F-A14A-4E21-931A-4FE24B838493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Resumen General" sheetId="1" r:id="rId1"/>
    <sheet name="Iteración 1" sheetId="2" r:id="rId2"/>
    <sheet name="Iteración 2" sheetId="3" r:id="rId3"/>
    <sheet name="Iteración 3" sheetId="4" r:id="rId4"/>
    <sheet name="Iteración 4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9" i="4" l="1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E45" i="4"/>
  <c r="D45" i="4"/>
  <c r="F45" i="4" s="1"/>
  <c r="C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E45" i="3"/>
  <c r="D45" i="3"/>
  <c r="F45" i="3" s="1"/>
  <c r="C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E45" i="2"/>
  <c r="D45" i="2"/>
  <c r="F45" i="2" s="1"/>
  <c r="C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<sst xmlns="http://schemas.openxmlformats.org/spreadsheetml/2006/main" count="518" uniqueCount="107">
  <si>
    <t>Puertas Blindadas ERP — Módulo Inventario — Pruebas de Caja Negra</t>
  </si>
  <si>
    <t>Iteración</t>
  </si>
  <si>
    <t>CP Totales</t>
  </si>
  <si>
    <t>CP Correctos</t>
  </si>
  <si>
    <t>CP Erróneos</t>
  </si>
  <si>
    <t>% Correcto</t>
  </si>
  <si>
    <t>% Erróneo</t>
  </si>
  <si>
    <t>1ª Iteración</t>
  </si>
  <si>
    <t>2ª Iteración</t>
  </si>
  <si>
    <t>3ª Iteración</t>
  </si>
  <si>
    <t>CP Correcto</t>
  </si>
  <si>
    <t>CP Erróneo</t>
  </si>
  <si>
    <t>Resumen Iteración 1 — Pruebas de Caja Negra</t>
  </si>
  <si>
    <t>CU</t>
  </si>
  <si>
    <t>Nombre del Caso de Uso</t>
  </si>
  <si>
    <t>N° CP</t>
  </si>
  <si>
    <t>Correctos</t>
  </si>
  <si>
    <t>Erróneos</t>
  </si>
  <si>
    <t>CU-01</t>
  </si>
  <si>
    <t>Registrando producto con SKU único</t>
  </si>
  <si>
    <t>CU-02</t>
  </si>
  <si>
    <t>Buscando producto</t>
  </si>
  <si>
    <t>CU-03</t>
  </si>
  <si>
    <t>Consultando ficha de producto</t>
  </si>
  <si>
    <t>CU-04</t>
  </si>
  <si>
    <t>Eliminando producto del sistema</t>
  </si>
  <si>
    <t>CU-05</t>
  </si>
  <si>
    <t>Definiendo nombre y descripción técnica</t>
  </si>
  <si>
    <t>CU-06</t>
  </si>
  <si>
    <t>Editando información de producto</t>
  </si>
  <si>
    <t>CU-07</t>
  </si>
  <si>
    <t>Visualizando listado maestro de productos</t>
  </si>
  <si>
    <t>CU-08</t>
  </si>
  <si>
    <t>Clasificando por categorías obligatorias</t>
  </si>
  <si>
    <t>CU-10</t>
  </si>
  <si>
    <t>Asignando unidad de medida</t>
  </si>
  <si>
    <t>CU-12</t>
  </si>
  <si>
    <t>Gestionando stock mínimo y máximo por producto</t>
  </si>
  <si>
    <t>CU-18</t>
  </si>
  <si>
    <t>Registrando bodegas físicas</t>
  </si>
  <si>
    <t>CU-19</t>
  </si>
  <si>
    <t>Registrando traslado entre bodegas</t>
  </si>
  <si>
    <t>CU-20</t>
  </si>
  <si>
    <t>Asignando productos a bodega</t>
  </si>
  <si>
    <t>CU-22</t>
  </si>
  <si>
    <t>Visualizando stock por bodega</t>
  </si>
  <si>
    <t>CU-23</t>
  </si>
  <si>
    <t>Visualizando stock consolidado</t>
  </si>
  <si>
    <t>CU-24</t>
  </si>
  <si>
    <t>Registrando entradas de inventario</t>
  </si>
  <si>
    <t>CU-25</t>
  </si>
  <si>
    <t>Registrando salidas de inventario</t>
  </si>
  <si>
    <t>CU-29</t>
  </si>
  <si>
    <t>Registrando proveedor en entrada</t>
  </si>
  <si>
    <t>CU-31</t>
  </si>
  <si>
    <t>Registrando motivo de salida</t>
  </si>
  <si>
    <t>CU-32</t>
  </si>
  <si>
    <t>Clasificando tipos de salida</t>
  </si>
  <si>
    <t>CU-34</t>
  </si>
  <si>
    <t>Consultando historial de movimientos</t>
  </si>
  <si>
    <t>CU-37</t>
  </si>
  <si>
    <t>Aplicando método FIFO</t>
  </si>
  <si>
    <t>CU-41</t>
  </si>
  <si>
    <t>Estableciendo umbral de stock mínimo y máximo</t>
  </si>
  <si>
    <t>CU-42</t>
  </si>
  <si>
    <t>Notificando alertas automáticas de stock</t>
  </si>
  <si>
    <t>CU-47</t>
  </si>
  <si>
    <t>Ajustando umbrales de alerta</t>
  </si>
  <si>
    <t>CU-48</t>
  </si>
  <si>
    <t>Consultando umbrales por producto</t>
  </si>
  <si>
    <t>CU-50</t>
  </si>
  <si>
    <t>Centralizando alertas de dashboard</t>
  </si>
  <si>
    <t>CU-54</t>
  </si>
  <si>
    <t>Registrando proveedores</t>
  </si>
  <si>
    <t>CU-66</t>
  </si>
  <si>
    <t>Auditando reportes de movimientos periódicamente</t>
  </si>
  <si>
    <t>CU-72</t>
  </si>
  <si>
    <t>Registrando cuenta de usuario</t>
  </si>
  <si>
    <t>CU-73</t>
  </si>
  <si>
    <t>Validando formato de email</t>
  </si>
  <si>
    <t>CU-74</t>
  </si>
  <si>
    <t>Asignando rol a usuario</t>
  </si>
  <si>
    <t>CU-75</t>
  </si>
  <si>
    <t>Confirmando creación de cuenta</t>
  </si>
  <si>
    <t>CU-76</t>
  </si>
  <si>
    <t>Iniciando sesión</t>
  </si>
  <si>
    <t>CU-78</t>
  </si>
  <si>
    <t>Asignando roles activos</t>
  </si>
  <si>
    <t>CU-79</t>
  </si>
  <si>
    <t>Restringiendo información de costos al JOP</t>
  </si>
  <si>
    <t>CU-80</t>
  </si>
  <si>
    <t>Ocultando costos en los reportes del JOP</t>
  </si>
  <si>
    <t>CU-86</t>
  </si>
  <si>
    <t>Validando la identidad del usuario</t>
  </si>
  <si>
    <t>CU-102</t>
  </si>
  <si>
    <t>Validando insumos para pedidos</t>
  </si>
  <si>
    <t>CU-103</t>
  </si>
  <si>
    <t>Ejecutando verificación automática de viabilidad</t>
  </si>
  <si>
    <t>CU-104</t>
  </si>
  <si>
    <t>Reservando stock para instalación confirmada</t>
  </si>
  <si>
    <t>TOTALES</t>
  </si>
  <si>
    <t>Caso de Uso</t>
  </si>
  <si>
    <t>Resumen Iteración 2 — Pruebas de Caja Negra</t>
  </si>
  <si>
    <t>Resumen Iteración 3 — Pruebas de Caja Negra</t>
  </si>
  <si>
    <t>Grupo 14 - Incremento 1 - Caja Negra - 3 Iteraciones</t>
  </si>
  <si>
    <t>4ª Iteración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</si>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</sst>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1F1F1F"/>
      <name val="Arial"/>
      <charset val="1"/>
    </font>
    <font>
      <b/>
      <sz val="10"/>
      <color rgb="FF1F1F1F"/>
      <name val="Arial"/>
      <charset val="1"/>
    </font>
    <font>
      <b/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sz val="11"/>
      <color rgb="FF595959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E8F01"/>
        <bgColor rgb="FFFF660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theme="0" tint="-0.249977111117893"/>
        <bgColor rgb="FF333399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/>
    <xf numFmtId="0" fontId="1" fillId="0" borderId="0" xfId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10" fontId="12" fillId="0" borderId="3" xfId="1" applyNumberFormat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9" fontId="12" fillId="0" borderId="3" xfId="1" applyNumberFormat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1665FA38-BA81-44CC-8A8C-F3328674BF2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F5F5F5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E8F01"/>
      <rgbColor rgb="FFFF6600"/>
      <rgbColor rgb="FF595959"/>
      <rgbColor rgb="FFB3B3B3"/>
      <rgbColor rgb="FF1F3864"/>
      <rgbColor rgb="FF2E7D32"/>
      <rgbColor rgb="FF003300"/>
      <rgbColor rgb="FF333300"/>
      <rgbColor rgb="FFC62828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Resultado Pruebas de Caja Negra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General'!$B$9</c:f>
              <c:strCache>
                <c:ptCount val="1"/>
                <c:pt idx="0">
                  <c:v>CP Correcto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General'!$A$10:$A$12</c:f>
              <c:strCache>
                <c:ptCount val="3"/>
                <c:pt idx="0">
                  <c:v>1ª Iteración</c:v>
                </c:pt>
                <c:pt idx="1">
                  <c:v>2ª Iteración</c:v>
                </c:pt>
                <c:pt idx="2">
                  <c:v>3ª Iteración</c:v>
                </c:pt>
              </c:strCache>
            </c:strRef>
          </c:cat>
          <c:val>
            <c:numRef>
              <c:f>'Resumen General'!$B$10:$B$12</c:f>
              <c:numCache>
                <c:formatCode>General</c:formatCode>
                <c:ptCount val="3"/>
                <c:pt idx="0">
                  <c:v>96</c:v>
                </c:pt>
                <c:pt idx="1">
                  <c:v>103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E-48EB-861C-26AC6E4982A2}"/>
            </c:ext>
          </c:extLst>
        </c:ser>
        <c:ser>
          <c:idx val="1"/>
          <c:order val="1"/>
          <c:tx>
            <c:strRef>
              <c:f>'Resumen General'!$C$9</c:f>
              <c:strCache>
                <c:ptCount val="1"/>
                <c:pt idx="0">
                  <c:v>CP Erróneo</c:v>
                </c:pt>
              </c:strCache>
            </c:strRef>
          </c:tx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3.9274855628690666E-2"/>
                  <c:y val="0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8E-48EB-861C-26AC6E4982A2}"/>
                </c:ext>
              </c:extLst>
            </c:dLbl>
            <c:dLbl>
              <c:idx val="1"/>
              <c:layout>
                <c:manualLayout>
                  <c:x val="4.7543246287362305E-2"/>
                  <c:y val="-2.0582705896516916E-2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8E-48EB-861C-26AC6E4982A2}"/>
                </c:ext>
              </c:extLst>
            </c:dLbl>
            <c:dLbl>
              <c:idx val="2"/>
              <c:layout>
                <c:manualLayout>
                  <c:x val="9.3019394910056841E-2"/>
                  <c:y val="1.7642319339871641E-2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8E-48EB-861C-26AC6E4982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General'!$A$10:$A$12</c:f>
              <c:strCache>
                <c:ptCount val="3"/>
                <c:pt idx="0">
                  <c:v>1ª Iteración</c:v>
                </c:pt>
                <c:pt idx="1">
                  <c:v>2ª Iteración</c:v>
                </c:pt>
                <c:pt idx="2">
                  <c:v>3ª Iteración</c:v>
                </c:pt>
              </c:strCache>
            </c:strRef>
          </c:cat>
          <c:val>
            <c:numRef>
              <c:f>'Resumen General'!$C$10:$C$12</c:f>
              <c:numCache>
                <c:formatCode>General</c:formatCode>
                <c:ptCount val="3"/>
                <c:pt idx="0">
                  <c:v>44</c:v>
                </c:pt>
                <c:pt idx="1">
                  <c:v>37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8E-48EB-861C-26AC6E498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61644"/>
        <c:axId val="71842394"/>
      </c:barChart>
      <c:catAx>
        <c:axId val="86361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Iteración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1842394"/>
        <c:crosses val="autoZero"/>
        <c:auto val="1"/>
        <c:lblAlgn val="ctr"/>
        <c:lblOffset val="100"/>
        <c:noMultiLvlLbl val="0"/>
      </c:catAx>
      <c:valAx>
        <c:axId val="71842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Casos de Prueba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63616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936606834768903"/>
          <c:y val="0.29830291075116455"/>
          <c:w val="0.13443263865830712"/>
          <c:h val="0.1063415108493318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1'!$B$48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1'!$A$49:$A$89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1'!$B$49:$B$89</c:f>
              <c:numCache>
                <c:formatCode>General</c:formatCode>
                <c:ptCount val="41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3</c:v>
                </c:pt>
                <c:pt idx="28">
                  <c:v>6</c:v>
                </c:pt>
                <c:pt idx="29">
                  <c:v>4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8-4B07-BA26-1D2B7CB77999}"/>
            </c:ext>
          </c:extLst>
        </c:ser>
        <c:ser>
          <c:idx val="1"/>
          <c:order val="1"/>
          <c:tx>
            <c:strRef>
              <c:f>'Iteración 1'!$C$48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FF6B6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1'!$A$49:$A$89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1'!$C$49:$C$89</c:f>
              <c:numCache>
                <c:formatCode>General</c:formatCode>
                <c:ptCount val="4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8-4B07-BA26-1D2B7CB7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05079"/>
        <c:axId val="62012251"/>
      </c:barChart>
      <c:catAx>
        <c:axId val="49505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2012251"/>
        <c:crosses val="autoZero"/>
        <c:auto val="1"/>
        <c:lblAlgn val="ctr"/>
        <c:lblOffset val="100"/>
        <c:noMultiLvlLbl val="0"/>
      </c:catAx>
      <c:valAx>
        <c:axId val="620122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9505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2'!$B$48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2'!$A$49:$A$89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2'!$B$49:$B$89</c:f>
              <c:numCache>
                <c:formatCode>General</c:formatCode>
                <c:ptCount val="4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4-4832-820D-DEC9EF697E41}"/>
            </c:ext>
          </c:extLst>
        </c:ser>
        <c:ser>
          <c:idx val="1"/>
          <c:order val="1"/>
          <c:tx>
            <c:strRef>
              <c:f>'Iteración 2'!$C$48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FF6B6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2'!$A$49:$A$89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2'!$C$49:$C$89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64-4832-820D-DEC9EF697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83175"/>
        <c:axId val="1428982"/>
      </c:barChart>
      <c:catAx>
        <c:axId val="7183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428982"/>
        <c:crosses val="autoZero"/>
        <c:auto val="1"/>
        <c:lblAlgn val="ctr"/>
        <c:lblOffset val="100"/>
        <c:noMultiLvlLbl val="0"/>
      </c:catAx>
      <c:valAx>
        <c:axId val="14289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183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3'!$B$48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3'!$A$49:$A$89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3'!$B$49:$B$89</c:f>
              <c:numCache>
                <c:formatCode>General</c:formatCode>
                <c:ptCount val="4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1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5-4822-B43C-8F74C33D1B19}"/>
            </c:ext>
          </c:extLst>
        </c:ser>
        <c:ser>
          <c:idx val="1"/>
          <c:order val="1"/>
          <c:tx>
            <c:strRef>
              <c:f>'Iteración 3'!$C$48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FF6B6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3'!$A$49:$A$89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3'!$C$49:$C$89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4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5-4822-B43C-8F74C33D1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3603"/>
        <c:axId val="67820843"/>
      </c:barChart>
      <c:catAx>
        <c:axId val="49936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7820843"/>
        <c:crosses val="autoZero"/>
        <c:auto val="1"/>
        <c:lblAlgn val="ctr"/>
        <c:lblOffset val="100"/>
        <c:noMultiLvlLbl val="0"/>
      </c:catAx>
      <c:valAx>
        <c:axId val="678208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993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Casos de Prueba por CU — Iteración 4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'Iteración 4'!$F$4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'Iteración 4'!$C$5:$C$45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4'!$F$5:$F$45</c:f>
              <c:numCache>
                <c:formatCode>General</c:formatCode>
                <c:ptCount val="4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2</c:v>
                </c:pt>
                <c:pt idx="26">
                  <c:v>4</c:v>
                </c:pt>
                <c:pt idx="27">
                  <c:v>4</c:v>
                </c:pt>
                <c:pt idx="28">
                  <c:v>6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F1-4B8E-838B-6340A182290E}"/>
            </c:ext>
          </c:extLst>
        </c:ser>
        <c:ser>
          <c:idx val="1"/>
          <c:order val="1"/>
          <c:tx>
            <c:strRef>
              <c:f>'Iteración 4'!$G$4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E88B8B"/>
            </a:solidFill>
            <a:ln>
              <a:prstDash val="solid"/>
            </a:ln>
          </c:spPr>
          <c:invertIfNegative val="1"/>
          <c:cat>
            <c:strRef>
              <c:f>'Iteración 4'!$C$5:$C$45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4'!$G$5:$G$45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7F1-4B8E-838B-6340A1822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Caso de Uso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Cantidad CP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Resultado Pruebas de Caja Negra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'Iteración 4'!$D$48</c:f>
              <c:strCache>
                <c:ptCount val="1"/>
                <c:pt idx="0">
                  <c:v>CP Correcto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'Iteración 4'!$C$49:$C$52</c:f>
              <c:strCache>
                <c:ptCount val="4"/>
                <c:pt idx="0">
                  <c:v>1ª Iteración</c:v>
                </c:pt>
                <c:pt idx="1">
                  <c:v>2ª Iteración</c:v>
                </c:pt>
                <c:pt idx="2">
                  <c:v>3ª Iteración</c:v>
                </c:pt>
                <c:pt idx="3">
                  <c:v>4ª Iteración</c:v>
                </c:pt>
              </c:strCache>
            </c:strRef>
          </c:cat>
          <c:val>
            <c:numRef>
              <c:f>'Iteración 4'!$D$49:$D$52</c:f>
              <c:numCache>
                <c:formatCode>General</c:formatCode>
                <c:ptCount val="4"/>
                <c:pt idx="0">
                  <c:v>96</c:v>
                </c:pt>
                <c:pt idx="1">
                  <c:v>103</c:v>
                </c:pt>
                <c:pt idx="2">
                  <c:v>113</c:v>
                </c:pt>
                <c:pt idx="3">
                  <c:v>138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1E-47F5-8B56-4415192563C8}"/>
            </c:ext>
          </c:extLst>
        </c:ser>
        <c:ser>
          <c:idx val="1"/>
          <c:order val="1"/>
          <c:tx>
            <c:strRef>
              <c:f>'Iteración 4'!$E$48</c:f>
              <c:strCache>
                <c:ptCount val="1"/>
                <c:pt idx="0">
                  <c:v>CP Erróneo</c:v>
                </c:pt>
              </c:strCache>
            </c:strRef>
          </c:tx>
          <c:spPr>
            <a:solidFill>
              <a:srgbClr val="9DC3E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'Iteración 4'!$C$49:$C$52</c:f>
              <c:strCache>
                <c:ptCount val="4"/>
                <c:pt idx="0">
                  <c:v>1ª Iteración</c:v>
                </c:pt>
                <c:pt idx="1">
                  <c:v>2ª Iteración</c:v>
                </c:pt>
                <c:pt idx="2">
                  <c:v>3ª Iteración</c:v>
                </c:pt>
                <c:pt idx="3">
                  <c:v>4ª Iteración</c:v>
                </c:pt>
              </c:strCache>
            </c:strRef>
          </c:cat>
          <c:val>
            <c:numRef>
              <c:f>'Iteración 4'!$E$49:$E$52</c:f>
              <c:numCache>
                <c:formatCode>General</c:formatCode>
                <c:ptCount val="4"/>
                <c:pt idx="0">
                  <c:v>44</c:v>
                </c:pt>
                <c:pt idx="1">
                  <c:v>37</c:v>
                </c:pt>
                <c:pt idx="2">
                  <c:v>27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C1E-47F5-8B56-441519256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Iteración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Casos de Prueba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17</xdr:row>
      <xdr:rowOff>57150</xdr:rowOff>
    </xdr:from>
    <xdr:to>
      <xdr:col>6</xdr:col>
      <xdr:colOff>314580</xdr:colOff>
      <xdr:row>39</xdr:row>
      <xdr:rowOff>185310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28</xdr:col>
      <xdr:colOff>369360</xdr:colOff>
      <xdr:row>29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28</xdr:col>
      <xdr:colOff>369360</xdr:colOff>
      <xdr:row>29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28</xdr:col>
      <xdr:colOff>369360</xdr:colOff>
      <xdr:row>29</xdr:row>
      <xdr:rowOff>86760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168088</xdr:colOff>
      <xdr:row>59</xdr:row>
      <xdr:rowOff>100853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47E81-166E-44B0-8BDB-718EAE82B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414617</xdr:colOff>
      <xdr:row>50</xdr:row>
      <xdr:rowOff>123264</xdr:rowOff>
    </xdr:from>
    <xdr:ext cx="72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1430CE-4C2D-40FF-81CD-07BDBCDC9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opLeftCell="A2" zoomScaleNormal="100" workbookViewId="0">
      <selection activeCell="I25" sqref="I25"/>
    </sheetView>
  </sheetViews>
  <sheetFormatPr defaultColWidth="8.7109375" defaultRowHeight="15" x14ac:dyDescent="0.25"/>
  <cols>
    <col min="1" max="1" width="16" customWidth="1"/>
    <col min="2" max="2" width="14" customWidth="1"/>
    <col min="3" max="3" width="16" customWidth="1"/>
    <col min="4" max="6" width="14" customWidth="1"/>
  </cols>
  <sheetData>
    <row r="1" spans="1:6" ht="30" customHeight="1" x14ac:dyDescent="0.25">
      <c r="A1" s="24" t="s">
        <v>0</v>
      </c>
      <c r="B1" s="24"/>
      <c r="C1" s="24"/>
      <c r="D1" s="24"/>
      <c r="E1" s="24"/>
      <c r="F1" s="24"/>
    </row>
    <row r="2" spans="1:6" ht="18" customHeight="1" x14ac:dyDescent="0.25">
      <c r="A2" s="25" t="s">
        <v>104</v>
      </c>
      <c r="B2" s="26"/>
      <c r="C2" s="26"/>
      <c r="D2" s="26"/>
      <c r="E2" s="26"/>
      <c r="F2" s="26"/>
    </row>
    <row r="4" spans="1:6" ht="19.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5" customHeight="1" x14ac:dyDescent="0.25">
      <c r="A5" s="2" t="s">
        <v>7</v>
      </c>
      <c r="B5" s="3">
        <v>140</v>
      </c>
      <c r="C5" s="4">
        <v>96</v>
      </c>
      <c r="D5" s="5">
        <v>44</v>
      </c>
      <c r="E5" s="6">
        <f>C5/B5</f>
        <v>0.68571428571428572</v>
      </c>
      <c r="F5" s="7">
        <f>D5/B5</f>
        <v>0.31428571428571428</v>
      </c>
    </row>
    <row r="6" spans="1:6" ht="15" customHeight="1" x14ac:dyDescent="0.25">
      <c r="A6" s="8" t="s">
        <v>8</v>
      </c>
      <c r="B6" s="9">
        <v>140</v>
      </c>
      <c r="C6" s="10">
        <v>103</v>
      </c>
      <c r="D6" s="11">
        <v>37</v>
      </c>
      <c r="E6" s="12">
        <f>C6/B6</f>
        <v>0.73571428571428577</v>
      </c>
      <c r="F6" s="13">
        <f>D6/B6</f>
        <v>0.26428571428571429</v>
      </c>
    </row>
    <row r="7" spans="1:6" ht="15" customHeight="1" x14ac:dyDescent="0.25">
      <c r="A7" s="2" t="s">
        <v>9</v>
      </c>
      <c r="B7" s="3">
        <v>140</v>
      </c>
      <c r="C7" s="4">
        <v>113</v>
      </c>
      <c r="D7" s="5">
        <v>27</v>
      </c>
      <c r="E7" s="6">
        <f>C7/B7</f>
        <v>0.80714285714285716</v>
      </c>
      <c r="F7" s="7">
        <f>D7/B7</f>
        <v>0.19285714285714287</v>
      </c>
    </row>
    <row r="9" spans="1:6" ht="15" customHeight="1" x14ac:dyDescent="0.25">
      <c r="A9" s="1" t="s">
        <v>1</v>
      </c>
      <c r="B9" s="1" t="s">
        <v>10</v>
      </c>
      <c r="C9" s="1" t="s">
        <v>11</v>
      </c>
    </row>
    <row r="10" spans="1:6" ht="15" customHeight="1" x14ac:dyDescent="0.25">
      <c r="A10" s="14" t="s">
        <v>7</v>
      </c>
      <c r="B10" s="14">
        <v>96</v>
      </c>
      <c r="C10" s="14">
        <v>44</v>
      </c>
    </row>
    <row r="11" spans="1:6" ht="15" customHeight="1" x14ac:dyDescent="0.25">
      <c r="A11" s="14" t="s">
        <v>8</v>
      </c>
      <c r="B11" s="14">
        <v>103</v>
      </c>
      <c r="C11" s="14">
        <v>37</v>
      </c>
    </row>
    <row r="12" spans="1:6" ht="15" customHeight="1" x14ac:dyDescent="0.25">
      <c r="A12" s="14" t="s">
        <v>9</v>
      </c>
      <c r="B12" s="14">
        <v>113</v>
      </c>
      <c r="C12" s="14">
        <v>27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zoomScaleNormal="100" workbookViewId="0">
      <selection activeCell="F50" sqref="F50"/>
    </sheetView>
  </sheetViews>
  <sheetFormatPr defaultColWidth="8.7109375" defaultRowHeight="15" x14ac:dyDescent="0.25"/>
  <cols>
    <col min="1" max="1" width="10" customWidth="1"/>
    <col min="2" max="2" width="45" customWidth="1"/>
    <col min="3" max="3" width="8" customWidth="1"/>
    <col min="4" max="4" width="12" customWidth="1"/>
    <col min="5" max="5" width="11" customWidth="1"/>
    <col min="6" max="6" width="12" customWidth="1"/>
    <col min="7" max="7" width="10" customWidth="1"/>
  </cols>
  <sheetData>
    <row r="1" spans="1:7" ht="27.75" customHeight="1" x14ac:dyDescent="0.25">
      <c r="A1" s="22" t="s">
        <v>12</v>
      </c>
      <c r="B1" s="22"/>
      <c r="C1" s="22"/>
      <c r="D1" s="22"/>
      <c r="E1" s="22"/>
      <c r="F1" s="22"/>
      <c r="G1" s="22"/>
    </row>
    <row r="3" spans="1:7" ht="19.5" customHeight="1" x14ac:dyDescent="0.25">
      <c r="A3" s="21" t="s">
        <v>13</v>
      </c>
      <c r="B3" s="21" t="s">
        <v>14</v>
      </c>
      <c r="C3" s="21" t="s">
        <v>15</v>
      </c>
      <c r="D3" s="21" t="s">
        <v>16</v>
      </c>
      <c r="E3" s="21" t="s">
        <v>17</v>
      </c>
      <c r="F3" s="21" t="s">
        <v>5</v>
      </c>
      <c r="G3" s="21" t="s">
        <v>1</v>
      </c>
    </row>
    <row r="4" spans="1:7" ht="15" customHeight="1" x14ac:dyDescent="0.25">
      <c r="A4" s="8" t="s">
        <v>18</v>
      </c>
      <c r="B4" s="15" t="s">
        <v>19</v>
      </c>
      <c r="C4" s="8">
        <v>4</v>
      </c>
      <c r="D4" s="10">
        <v>2</v>
      </c>
      <c r="E4" s="11">
        <v>2</v>
      </c>
      <c r="F4" s="16">
        <f t="shared" ref="F4:F45" si="0">D4/C4</f>
        <v>0.5</v>
      </c>
      <c r="G4" s="8">
        <v>1</v>
      </c>
    </row>
    <row r="5" spans="1:7" ht="15" customHeight="1" x14ac:dyDescent="0.25">
      <c r="A5" s="2" t="s">
        <v>20</v>
      </c>
      <c r="B5" s="17" t="s">
        <v>21</v>
      </c>
      <c r="C5" s="2">
        <v>4</v>
      </c>
      <c r="D5" s="4">
        <v>3</v>
      </c>
      <c r="E5" s="5">
        <v>1</v>
      </c>
      <c r="F5" s="18">
        <f t="shared" si="0"/>
        <v>0.75</v>
      </c>
      <c r="G5" s="2">
        <v>1</v>
      </c>
    </row>
    <row r="6" spans="1:7" ht="15" customHeight="1" x14ac:dyDescent="0.25">
      <c r="A6" s="8" t="s">
        <v>22</v>
      </c>
      <c r="B6" s="15" t="s">
        <v>23</v>
      </c>
      <c r="C6" s="8">
        <v>4</v>
      </c>
      <c r="D6" s="10">
        <v>2</v>
      </c>
      <c r="E6" s="11">
        <v>2</v>
      </c>
      <c r="F6" s="16">
        <f t="shared" si="0"/>
        <v>0.5</v>
      </c>
      <c r="G6" s="8">
        <v>1</v>
      </c>
    </row>
    <row r="7" spans="1:7" ht="15" customHeight="1" x14ac:dyDescent="0.25">
      <c r="A7" s="2" t="s">
        <v>24</v>
      </c>
      <c r="B7" s="17" t="s">
        <v>25</v>
      </c>
      <c r="C7" s="2">
        <v>5</v>
      </c>
      <c r="D7" s="4">
        <v>4</v>
      </c>
      <c r="E7" s="5">
        <v>1</v>
      </c>
      <c r="F7" s="18">
        <f t="shared" si="0"/>
        <v>0.8</v>
      </c>
      <c r="G7" s="2">
        <v>1</v>
      </c>
    </row>
    <row r="8" spans="1:7" ht="15" customHeight="1" x14ac:dyDescent="0.25">
      <c r="A8" s="8" t="s">
        <v>26</v>
      </c>
      <c r="B8" s="15" t="s">
        <v>27</v>
      </c>
      <c r="C8" s="8">
        <v>4</v>
      </c>
      <c r="D8" s="10">
        <v>4</v>
      </c>
      <c r="E8" s="9">
        <v>0</v>
      </c>
      <c r="F8" s="16">
        <f t="shared" si="0"/>
        <v>1</v>
      </c>
      <c r="G8" s="8">
        <v>1</v>
      </c>
    </row>
    <row r="9" spans="1:7" ht="15" customHeight="1" x14ac:dyDescent="0.25">
      <c r="A9" s="2" t="s">
        <v>28</v>
      </c>
      <c r="B9" s="17" t="s">
        <v>29</v>
      </c>
      <c r="C9" s="2">
        <v>4</v>
      </c>
      <c r="D9" s="4">
        <v>0</v>
      </c>
      <c r="E9" s="5">
        <v>4</v>
      </c>
      <c r="F9" s="18">
        <f t="shared" si="0"/>
        <v>0</v>
      </c>
      <c r="G9" s="2">
        <v>1</v>
      </c>
    </row>
    <row r="10" spans="1:7" ht="15" customHeight="1" x14ac:dyDescent="0.25">
      <c r="A10" s="8" t="s">
        <v>30</v>
      </c>
      <c r="B10" s="15" t="s">
        <v>31</v>
      </c>
      <c r="C10" s="8">
        <v>4</v>
      </c>
      <c r="D10" s="10">
        <v>3</v>
      </c>
      <c r="E10" s="11">
        <v>1</v>
      </c>
      <c r="F10" s="16">
        <f t="shared" si="0"/>
        <v>0.75</v>
      </c>
      <c r="G10" s="8">
        <v>1</v>
      </c>
    </row>
    <row r="11" spans="1:7" ht="15" customHeight="1" x14ac:dyDescent="0.25">
      <c r="A11" s="2" t="s">
        <v>32</v>
      </c>
      <c r="B11" s="17" t="s">
        <v>33</v>
      </c>
      <c r="C11" s="2">
        <v>3</v>
      </c>
      <c r="D11" s="4">
        <v>2</v>
      </c>
      <c r="E11" s="5">
        <v>1</v>
      </c>
      <c r="F11" s="18">
        <f t="shared" si="0"/>
        <v>0.66666666666666663</v>
      </c>
      <c r="G11" s="2">
        <v>1</v>
      </c>
    </row>
    <row r="12" spans="1:7" ht="15" customHeight="1" x14ac:dyDescent="0.25">
      <c r="A12" s="8" t="s">
        <v>34</v>
      </c>
      <c r="B12" s="15" t="s">
        <v>35</v>
      </c>
      <c r="C12" s="8">
        <v>3</v>
      </c>
      <c r="D12" s="10">
        <v>3</v>
      </c>
      <c r="E12" s="9">
        <v>0</v>
      </c>
      <c r="F12" s="16">
        <f t="shared" si="0"/>
        <v>1</v>
      </c>
      <c r="G12" s="8">
        <v>1</v>
      </c>
    </row>
    <row r="13" spans="1:7" ht="15" customHeight="1" x14ac:dyDescent="0.25">
      <c r="A13" s="2" t="s">
        <v>36</v>
      </c>
      <c r="B13" s="17" t="s">
        <v>37</v>
      </c>
      <c r="C13" s="2">
        <v>3</v>
      </c>
      <c r="D13" s="4">
        <v>1</v>
      </c>
      <c r="E13" s="5">
        <v>2</v>
      </c>
      <c r="F13" s="18">
        <f t="shared" si="0"/>
        <v>0.33333333333333331</v>
      </c>
      <c r="G13" s="2">
        <v>1</v>
      </c>
    </row>
    <row r="14" spans="1:7" ht="15" customHeight="1" x14ac:dyDescent="0.25">
      <c r="A14" s="8" t="s">
        <v>38</v>
      </c>
      <c r="B14" s="15" t="s">
        <v>39</v>
      </c>
      <c r="C14" s="8">
        <v>3</v>
      </c>
      <c r="D14" s="10">
        <v>2</v>
      </c>
      <c r="E14" s="11">
        <v>1</v>
      </c>
      <c r="F14" s="16">
        <f t="shared" si="0"/>
        <v>0.66666666666666663</v>
      </c>
      <c r="G14" s="8">
        <v>1</v>
      </c>
    </row>
    <row r="15" spans="1:7" ht="15" customHeight="1" x14ac:dyDescent="0.25">
      <c r="A15" s="2" t="s">
        <v>40</v>
      </c>
      <c r="B15" s="17" t="s">
        <v>41</v>
      </c>
      <c r="C15" s="2">
        <v>4</v>
      </c>
      <c r="D15" s="4">
        <v>0</v>
      </c>
      <c r="E15" s="5">
        <v>4</v>
      </c>
      <c r="F15" s="18">
        <f t="shared" si="0"/>
        <v>0</v>
      </c>
      <c r="G15" s="2">
        <v>1</v>
      </c>
    </row>
    <row r="16" spans="1:7" ht="15" customHeight="1" x14ac:dyDescent="0.25">
      <c r="A16" s="8" t="s">
        <v>42</v>
      </c>
      <c r="B16" s="15" t="s">
        <v>43</v>
      </c>
      <c r="C16" s="8">
        <v>2</v>
      </c>
      <c r="D16" s="10">
        <v>1</v>
      </c>
      <c r="E16" s="11">
        <v>1</v>
      </c>
      <c r="F16" s="16">
        <f t="shared" si="0"/>
        <v>0.5</v>
      </c>
      <c r="G16" s="8">
        <v>1</v>
      </c>
    </row>
    <row r="17" spans="1:7" ht="15" customHeight="1" x14ac:dyDescent="0.25">
      <c r="A17" s="2" t="s">
        <v>44</v>
      </c>
      <c r="B17" s="17" t="s">
        <v>45</v>
      </c>
      <c r="C17" s="2">
        <v>2</v>
      </c>
      <c r="D17" s="4">
        <v>1</v>
      </c>
      <c r="E17" s="5">
        <v>1</v>
      </c>
      <c r="F17" s="18">
        <f t="shared" si="0"/>
        <v>0.5</v>
      </c>
      <c r="G17" s="2">
        <v>1</v>
      </c>
    </row>
    <row r="18" spans="1:7" ht="15" customHeight="1" x14ac:dyDescent="0.25">
      <c r="A18" s="8" t="s">
        <v>46</v>
      </c>
      <c r="B18" s="15" t="s">
        <v>47</v>
      </c>
      <c r="C18" s="8">
        <v>3</v>
      </c>
      <c r="D18" s="10">
        <v>1</v>
      </c>
      <c r="E18" s="11">
        <v>2</v>
      </c>
      <c r="F18" s="16">
        <f t="shared" si="0"/>
        <v>0.33333333333333331</v>
      </c>
      <c r="G18" s="8">
        <v>1</v>
      </c>
    </row>
    <row r="19" spans="1:7" ht="15" customHeight="1" x14ac:dyDescent="0.25">
      <c r="A19" s="2" t="s">
        <v>48</v>
      </c>
      <c r="B19" s="17" t="s">
        <v>49</v>
      </c>
      <c r="C19" s="2">
        <v>4</v>
      </c>
      <c r="D19" s="4">
        <v>4</v>
      </c>
      <c r="E19" s="3">
        <v>0</v>
      </c>
      <c r="F19" s="18">
        <f t="shared" si="0"/>
        <v>1</v>
      </c>
      <c r="G19" s="2">
        <v>1</v>
      </c>
    </row>
    <row r="20" spans="1:7" ht="15" customHeight="1" x14ac:dyDescent="0.25">
      <c r="A20" s="8" t="s">
        <v>50</v>
      </c>
      <c r="B20" s="15" t="s">
        <v>51</v>
      </c>
      <c r="C20" s="8">
        <v>4</v>
      </c>
      <c r="D20" s="10">
        <v>4</v>
      </c>
      <c r="E20" s="9">
        <v>0</v>
      </c>
      <c r="F20" s="16">
        <f t="shared" si="0"/>
        <v>1</v>
      </c>
      <c r="G20" s="8">
        <v>1</v>
      </c>
    </row>
    <row r="21" spans="1:7" ht="15" customHeight="1" x14ac:dyDescent="0.25">
      <c r="A21" s="2" t="s">
        <v>52</v>
      </c>
      <c r="B21" s="17" t="s">
        <v>53</v>
      </c>
      <c r="C21" s="2">
        <v>3</v>
      </c>
      <c r="D21" s="4">
        <v>2</v>
      </c>
      <c r="E21" s="5">
        <v>1</v>
      </c>
      <c r="F21" s="18">
        <f t="shared" si="0"/>
        <v>0.66666666666666663</v>
      </c>
      <c r="G21" s="2">
        <v>1</v>
      </c>
    </row>
    <row r="22" spans="1:7" ht="15" customHeight="1" x14ac:dyDescent="0.25">
      <c r="A22" s="8" t="s">
        <v>54</v>
      </c>
      <c r="B22" s="15" t="s">
        <v>55</v>
      </c>
      <c r="C22" s="8">
        <v>3</v>
      </c>
      <c r="D22" s="10">
        <v>2</v>
      </c>
      <c r="E22" s="11">
        <v>1</v>
      </c>
      <c r="F22" s="16">
        <f t="shared" si="0"/>
        <v>0.66666666666666663</v>
      </c>
      <c r="G22" s="8">
        <v>1</v>
      </c>
    </row>
    <row r="23" spans="1:7" ht="15" customHeight="1" x14ac:dyDescent="0.25">
      <c r="A23" s="2" t="s">
        <v>56</v>
      </c>
      <c r="B23" s="17" t="s">
        <v>57</v>
      </c>
      <c r="C23" s="2">
        <v>3</v>
      </c>
      <c r="D23" s="4">
        <v>3</v>
      </c>
      <c r="E23" s="3">
        <v>0</v>
      </c>
      <c r="F23" s="18">
        <f t="shared" si="0"/>
        <v>1</v>
      </c>
      <c r="G23" s="2">
        <v>1</v>
      </c>
    </row>
    <row r="24" spans="1:7" ht="15" customHeight="1" x14ac:dyDescent="0.25">
      <c r="A24" s="8" t="s">
        <v>58</v>
      </c>
      <c r="B24" s="15" t="s">
        <v>59</v>
      </c>
      <c r="C24" s="8">
        <v>4</v>
      </c>
      <c r="D24" s="10">
        <v>4</v>
      </c>
      <c r="E24" s="9">
        <v>0</v>
      </c>
      <c r="F24" s="16">
        <f t="shared" si="0"/>
        <v>1</v>
      </c>
      <c r="G24" s="8">
        <v>1</v>
      </c>
    </row>
    <row r="25" spans="1:7" ht="15" customHeight="1" x14ac:dyDescent="0.25">
      <c r="A25" s="2" t="s">
        <v>60</v>
      </c>
      <c r="B25" s="17" t="s">
        <v>61</v>
      </c>
      <c r="C25" s="2">
        <v>3</v>
      </c>
      <c r="D25" s="4">
        <v>3</v>
      </c>
      <c r="E25" s="3">
        <v>0</v>
      </c>
      <c r="F25" s="18">
        <f t="shared" si="0"/>
        <v>1</v>
      </c>
      <c r="G25" s="2">
        <v>1</v>
      </c>
    </row>
    <row r="26" spans="1:7" ht="15" customHeight="1" x14ac:dyDescent="0.25">
      <c r="A26" s="8" t="s">
        <v>62</v>
      </c>
      <c r="B26" s="15" t="s">
        <v>63</v>
      </c>
      <c r="C26" s="8">
        <v>4</v>
      </c>
      <c r="D26" s="10">
        <v>0</v>
      </c>
      <c r="E26" s="11">
        <v>4</v>
      </c>
      <c r="F26" s="16">
        <f t="shared" si="0"/>
        <v>0</v>
      </c>
      <c r="G26" s="8">
        <v>1</v>
      </c>
    </row>
    <row r="27" spans="1:7" ht="15" customHeight="1" x14ac:dyDescent="0.25">
      <c r="A27" s="2" t="s">
        <v>64</v>
      </c>
      <c r="B27" s="17" t="s">
        <v>65</v>
      </c>
      <c r="C27" s="2">
        <v>4</v>
      </c>
      <c r="D27" s="4">
        <v>0</v>
      </c>
      <c r="E27" s="5">
        <v>4</v>
      </c>
      <c r="F27" s="18">
        <f t="shared" si="0"/>
        <v>0</v>
      </c>
      <c r="G27" s="2">
        <v>1</v>
      </c>
    </row>
    <row r="28" spans="1:7" ht="15" customHeight="1" x14ac:dyDescent="0.25">
      <c r="A28" s="8" t="s">
        <v>66</v>
      </c>
      <c r="B28" s="15" t="s">
        <v>67</v>
      </c>
      <c r="C28" s="8">
        <v>3</v>
      </c>
      <c r="D28" s="10">
        <v>0</v>
      </c>
      <c r="E28" s="11">
        <v>3</v>
      </c>
      <c r="F28" s="16">
        <f t="shared" si="0"/>
        <v>0</v>
      </c>
      <c r="G28" s="8">
        <v>1</v>
      </c>
    </row>
    <row r="29" spans="1:7" ht="15" customHeight="1" x14ac:dyDescent="0.25">
      <c r="A29" s="2" t="s">
        <v>68</v>
      </c>
      <c r="B29" s="17" t="s">
        <v>69</v>
      </c>
      <c r="C29" s="2">
        <v>2</v>
      </c>
      <c r="D29" s="4">
        <v>0</v>
      </c>
      <c r="E29" s="5">
        <v>2</v>
      </c>
      <c r="F29" s="18">
        <f t="shared" si="0"/>
        <v>0</v>
      </c>
      <c r="G29" s="2">
        <v>1</v>
      </c>
    </row>
    <row r="30" spans="1:7" ht="15" customHeight="1" x14ac:dyDescent="0.25">
      <c r="A30" s="8" t="s">
        <v>70</v>
      </c>
      <c r="B30" s="15" t="s">
        <v>71</v>
      </c>
      <c r="C30" s="8">
        <v>4</v>
      </c>
      <c r="D30" s="10">
        <v>4</v>
      </c>
      <c r="E30" s="9">
        <v>0</v>
      </c>
      <c r="F30" s="16">
        <f t="shared" si="0"/>
        <v>1</v>
      </c>
      <c r="G30" s="8">
        <v>1</v>
      </c>
    </row>
    <row r="31" spans="1:7" ht="15" customHeight="1" x14ac:dyDescent="0.25">
      <c r="A31" s="2" t="s">
        <v>72</v>
      </c>
      <c r="B31" s="17" t="s">
        <v>73</v>
      </c>
      <c r="C31" s="2">
        <v>4</v>
      </c>
      <c r="D31" s="4">
        <v>3</v>
      </c>
      <c r="E31" s="5">
        <v>1</v>
      </c>
      <c r="F31" s="18">
        <f t="shared" si="0"/>
        <v>0.75</v>
      </c>
      <c r="G31" s="2">
        <v>1</v>
      </c>
    </row>
    <row r="32" spans="1:7" ht="15" customHeight="1" x14ac:dyDescent="0.25">
      <c r="A32" s="8" t="s">
        <v>74</v>
      </c>
      <c r="B32" s="15" t="s">
        <v>75</v>
      </c>
      <c r="C32" s="8">
        <v>6</v>
      </c>
      <c r="D32" s="10">
        <v>6</v>
      </c>
      <c r="E32" s="9">
        <v>0</v>
      </c>
      <c r="F32" s="16">
        <f t="shared" si="0"/>
        <v>1</v>
      </c>
      <c r="G32" s="8">
        <v>1</v>
      </c>
    </row>
    <row r="33" spans="1:7" ht="15" customHeight="1" x14ac:dyDescent="0.25">
      <c r="A33" s="2" t="s">
        <v>76</v>
      </c>
      <c r="B33" s="17" t="s">
        <v>77</v>
      </c>
      <c r="C33" s="2">
        <v>4</v>
      </c>
      <c r="D33" s="4">
        <v>4</v>
      </c>
      <c r="E33" s="3">
        <v>0</v>
      </c>
      <c r="F33" s="18">
        <f t="shared" si="0"/>
        <v>1</v>
      </c>
      <c r="G33" s="2">
        <v>1</v>
      </c>
    </row>
    <row r="34" spans="1:7" ht="15" customHeight="1" x14ac:dyDescent="0.25">
      <c r="A34" s="8" t="s">
        <v>78</v>
      </c>
      <c r="B34" s="15" t="s">
        <v>79</v>
      </c>
      <c r="C34" s="8">
        <v>2</v>
      </c>
      <c r="D34" s="10">
        <v>1</v>
      </c>
      <c r="E34" s="11">
        <v>1</v>
      </c>
      <c r="F34" s="16">
        <f t="shared" si="0"/>
        <v>0.5</v>
      </c>
      <c r="G34" s="8">
        <v>1</v>
      </c>
    </row>
    <row r="35" spans="1:7" ht="15" customHeight="1" x14ac:dyDescent="0.25">
      <c r="A35" s="2" t="s">
        <v>80</v>
      </c>
      <c r="B35" s="17" t="s">
        <v>81</v>
      </c>
      <c r="C35" s="2">
        <v>3</v>
      </c>
      <c r="D35" s="4">
        <v>3</v>
      </c>
      <c r="E35" s="3">
        <v>0</v>
      </c>
      <c r="F35" s="18">
        <f t="shared" si="0"/>
        <v>1</v>
      </c>
      <c r="G35" s="2">
        <v>1</v>
      </c>
    </row>
    <row r="36" spans="1:7" ht="15" customHeight="1" x14ac:dyDescent="0.25">
      <c r="A36" s="8" t="s">
        <v>82</v>
      </c>
      <c r="B36" s="15" t="s">
        <v>83</v>
      </c>
      <c r="C36" s="8">
        <v>3</v>
      </c>
      <c r="D36" s="10">
        <v>2</v>
      </c>
      <c r="E36" s="11">
        <v>1</v>
      </c>
      <c r="F36" s="16">
        <f t="shared" si="0"/>
        <v>0.66666666666666663</v>
      </c>
      <c r="G36" s="8">
        <v>1</v>
      </c>
    </row>
    <row r="37" spans="1:7" ht="15" customHeight="1" x14ac:dyDescent="0.25">
      <c r="A37" s="2" t="s">
        <v>84</v>
      </c>
      <c r="B37" s="17" t="s">
        <v>85</v>
      </c>
      <c r="C37" s="2">
        <v>4</v>
      </c>
      <c r="D37" s="4">
        <v>4</v>
      </c>
      <c r="E37" s="3">
        <v>0</v>
      </c>
      <c r="F37" s="18">
        <f t="shared" si="0"/>
        <v>1</v>
      </c>
      <c r="G37" s="2">
        <v>1</v>
      </c>
    </row>
    <row r="38" spans="1:7" ht="15" customHeight="1" x14ac:dyDescent="0.25">
      <c r="A38" s="8" t="s">
        <v>86</v>
      </c>
      <c r="B38" s="15" t="s">
        <v>87</v>
      </c>
      <c r="C38" s="8">
        <v>3</v>
      </c>
      <c r="D38" s="10">
        <v>2</v>
      </c>
      <c r="E38" s="11">
        <v>1</v>
      </c>
      <c r="F38" s="16">
        <f t="shared" si="0"/>
        <v>0.66666666666666663</v>
      </c>
      <c r="G38" s="8">
        <v>1</v>
      </c>
    </row>
    <row r="39" spans="1:7" ht="15" customHeight="1" x14ac:dyDescent="0.25">
      <c r="A39" s="2" t="s">
        <v>88</v>
      </c>
      <c r="B39" s="17" t="s">
        <v>89</v>
      </c>
      <c r="C39" s="2">
        <v>4</v>
      </c>
      <c r="D39" s="4">
        <v>4</v>
      </c>
      <c r="E39" s="3">
        <v>0</v>
      </c>
      <c r="F39" s="18">
        <f t="shared" si="0"/>
        <v>1</v>
      </c>
      <c r="G39" s="2">
        <v>1</v>
      </c>
    </row>
    <row r="40" spans="1:7" ht="15" customHeight="1" x14ac:dyDescent="0.25">
      <c r="A40" s="8" t="s">
        <v>90</v>
      </c>
      <c r="B40" s="15" t="s">
        <v>91</v>
      </c>
      <c r="C40" s="8">
        <v>2</v>
      </c>
      <c r="D40" s="10">
        <v>2</v>
      </c>
      <c r="E40" s="9">
        <v>0</v>
      </c>
      <c r="F40" s="16">
        <f t="shared" si="0"/>
        <v>1</v>
      </c>
      <c r="G40" s="8">
        <v>1</v>
      </c>
    </row>
    <row r="41" spans="1:7" ht="15" customHeight="1" x14ac:dyDescent="0.25">
      <c r="A41" s="2" t="s">
        <v>92</v>
      </c>
      <c r="B41" s="17" t="s">
        <v>93</v>
      </c>
      <c r="C41" s="2">
        <v>3</v>
      </c>
      <c r="D41" s="4">
        <v>3</v>
      </c>
      <c r="E41" s="3">
        <v>0</v>
      </c>
      <c r="F41" s="18">
        <f t="shared" si="0"/>
        <v>1</v>
      </c>
      <c r="G41" s="2">
        <v>1</v>
      </c>
    </row>
    <row r="42" spans="1:7" ht="15" customHeight="1" x14ac:dyDescent="0.25">
      <c r="A42" s="8" t="s">
        <v>94</v>
      </c>
      <c r="B42" s="15" t="s">
        <v>95</v>
      </c>
      <c r="C42" s="8">
        <v>3</v>
      </c>
      <c r="D42" s="10">
        <v>2</v>
      </c>
      <c r="E42" s="11">
        <v>1</v>
      </c>
      <c r="F42" s="16">
        <f t="shared" si="0"/>
        <v>0.66666666666666663</v>
      </c>
      <c r="G42" s="8">
        <v>1</v>
      </c>
    </row>
    <row r="43" spans="1:7" ht="15" customHeight="1" x14ac:dyDescent="0.25">
      <c r="A43" s="2" t="s">
        <v>96</v>
      </c>
      <c r="B43" s="17" t="s">
        <v>97</v>
      </c>
      <c r="C43" s="2">
        <v>3</v>
      </c>
      <c r="D43" s="4">
        <v>2</v>
      </c>
      <c r="E43" s="5">
        <v>1</v>
      </c>
      <c r="F43" s="18">
        <f t="shared" si="0"/>
        <v>0.66666666666666663</v>
      </c>
      <c r="G43" s="2">
        <v>1</v>
      </c>
    </row>
    <row r="44" spans="1:7" ht="15" customHeight="1" x14ac:dyDescent="0.25">
      <c r="A44" s="8" t="s">
        <v>98</v>
      </c>
      <c r="B44" s="15" t="s">
        <v>99</v>
      </c>
      <c r="C44" s="8">
        <v>3</v>
      </c>
      <c r="D44" s="10">
        <v>3</v>
      </c>
      <c r="E44" s="9">
        <v>0</v>
      </c>
      <c r="F44" s="16">
        <f t="shared" si="0"/>
        <v>1</v>
      </c>
      <c r="G44" s="8">
        <v>1</v>
      </c>
    </row>
    <row r="45" spans="1:7" ht="15" customHeight="1" x14ac:dyDescent="0.25">
      <c r="A45" s="23" t="s">
        <v>100</v>
      </c>
      <c r="B45" s="23"/>
      <c r="C45" s="19">
        <f>SUM(C4:C44)</f>
        <v>140</v>
      </c>
      <c r="D45" s="19">
        <f>SUM(D4:D44)</f>
        <v>96</v>
      </c>
      <c r="E45" s="19">
        <f>SUM(E4:E44)</f>
        <v>44</v>
      </c>
      <c r="F45" s="20">
        <f t="shared" si="0"/>
        <v>0.68571428571428572</v>
      </c>
    </row>
    <row r="48" spans="1:7" ht="23.25" customHeight="1" x14ac:dyDescent="0.25">
      <c r="A48" s="1" t="s">
        <v>101</v>
      </c>
      <c r="B48" s="1" t="s">
        <v>16</v>
      </c>
      <c r="C48" s="1" t="s">
        <v>17</v>
      </c>
    </row>
    <row r="49" spans="1:3" ht="15" customHeight="1" x14ac:dyDescent="0.25">
      <c r="A49" s="14" t="s">
        <v>18</v>
      </c>
      <c r="B49" s="14">
        <f t="shared" ref="B49:B89" si="1">D4</f>
        <v>2</v>
      </c>
      <c r="C49" s="14">
        <f t="shared" ref="C49:C89" si="2">E4</f>
        <v>2</v>
      </c>
    </row>
    <row r="50" spans="1:3" ht="15" customHeight="1" x14ac:dyDescent="0.25">
      <c r="A50" s="14" t="s">
        <v>20</v>
      </c>
      <c r="B50" s="14">
        <f t="shared" si="1"/>
        <v>3</v>
      </c>
      <c r="C50" s="14">
        <f t="shared" si="2"/>
        <v>1</v>
      </c>
    </row>
    <row r="51" spans="1:3" ht="15" customHeight="1" x14ac:dyDescent="0.25">
      <c r="A51" s="14" t="s">
        <v>22</v>
      </c>
      <c r="B51" s="14">
        <f t="shared" si="1"/>
        <v>2</v>
      </c>
      <c r="C51" s="14">
        <f t="shared" si="2"/>
        <v>2</v>
      </c>
    </row>
    <row r="52" spans="1:3" ht="15" customHeight="1" x14ac:dyDescent="0.25">
      <c r="A52" s="14" t="s">
        <v>24</v>
      </c>
      <c r="B52" s="14">
        <f t="shared" si="1"/>
        <v>4</v>
      </c>
      <c r="C52" s="14">
        <f t="shared" si="2"/>
        <v>1</v>
      </c>
    </row>
    <row r="53" spans="1:3" ht="15" customHeight="1" x14ac:dyDescent="0.25">
      <c r="A53" s="14" t="s">
        <v>26</v>
      </c>
      <c r="B53" s="14">
        <f t="shared" si="1"/>
        <v>4</v>
      </c>
      <c r="C53" s="14">
        <f t="shared" si="2"/>
        <v>0</v>
      </c>
    </row>
    <row r="54" spans="1:3" ht="15" customHeight="1" x14ac:dyDescent="0.25">
      <c r="A54" s="14" t="s">
        <v>28</v>
      </c>
      <c r="B54" s="14">
        <f t="shared" si="1"/>
        <v>0</v>
      </c>
      <c r="C54" s="14">
        <f t="shared" si="2"/>
        <v>4</v>
      </c>
    </row>
    <row r="55" spans="1:3" ht="15" customHeight="1" x14ac:dyDescent="0.25">
      <c r="A55" s="14" t="s">
        <v>30</v>
      </c>
      <c r="B55" s="14">
        <f t="shared" si="1"/>
        <v>3</v>
      </c>
      <c r="C55" s="14">
        <f t="shared" si="2"/>
        <v>1</v>
      </c>
    </row>
    <row r="56" spans="1:3" ht="15" customHeight="1" x14ac:dyDescent="0.25">
      <c r="A56" s="14" t="s">
        <v>32</v>
      </c>
      <c r="B56" s="14">
        <f t="shared" si="1"/>
        <v>2</v>
      </c>
      <c r="C56" s="14">
        <f t="shared" si="2"/>
        <v>1</v>
      </c>
    </row>
    <row r="57" spans="1:3" ht="15" customHeight="1" x14ac:dyDescent="0.25">
      <c r="A57" s="14" t="s">
        <v>34</v>
      </c>
      <c r="B57" s="14">
        <f t="shared" si="1"/>
        <v>3</v>
      </c>
      <c r="C57" s="14">
        <f t="shared" si="2"/>
        <v>0</v>
      </c>
    </row>
    <row r="58" spans="1:3" ht="15" customHeight="1" x14ac:dyDescent="0.25">
      <c r="A58" s="14" t="s">
        <v>36</v>
      </c>
      <c r="B58" s="14">
        <f t="shared" si="1"/>
        <v>1</v>
      </c>
      <c r="C58" s="14">
        <f t="shared" si="2"/>
        <v>2</v>
      </c>
    </row>
    <row r="59" spans="1:3" ht="15" customHeight="1" x14ac:dyDescent="0.25">
      <c r="A59" s="14" t="s">
        <v>38</v>
      </c>
      <c r="B59" s="14">
        <f t="shared" si="1"/>
        <v>2</v>
      </c>
      <c r="C59" s="14">
        <f t="shared" si="2"/>
        <v>1</v>
      </c>
    </row>
    <row r="60" spans="1:3" ht="15" customHeight="1" x14ac:dyDescent="0.25">
      <c r="A60" s="14" t="s">
        <v>40</v>
      </c>
      <c r="B60" s="14">
        <f t="shared" si="1"/>
        <v>0</v>
      </c>
      <c r="C60" s="14">
        <f t="shared" si="2"/>
        <v>4</v>
      </c>
    </row>
    <row r="61" spans="1:3" ht="15" customHeight="1" x14ac:dyDescent="0.25">
      <c r="A61" s="14" t="s">
        <v>42</v>
      </c>
      <c r="B61" s="14">
        <f t="shared" si="1"/>
        <v>1</v>
      </c>
      <c r="C61" s="14">
        <f t="shared" si="2"/>
        <v>1</v>
      </c>
    </row>
    <row r="62" spans="1:3" ht="15" customHeight="1" x14ac:dyDescent="0.25">
      <c r="A62" s="14" t="s">
        <v>44</v>
      </c>
      <c r="B62" s="14">
        <f t="shared" si="1"/>
        <v>1</v>
      </c>
      <c r="C62" s="14">
        <f t="shared" si="2"/>
        <v>1</v>
      </c>
    </row>
    <row r="63" spans="1:3" ht="15" customHeight="1" x14ac:dyDescent="0.25">
      <c r="A63" s="14" t="s">
        <v>46</v>
      </c>
      <c r="B63" s="14">
        <f t="shared" si="1"/>
        <v>1</v>
      </c>
      <c r="C63" s="14">
        <f t="shared" si="2"/>
        <v>2</v>
      </c>
    </row>
    <row r="64" spans="1:3" ht="15" customHeight="1" x14ac:dyDescent="0.25">
      <c r="A64" s="14" t="s">
        <v>48</v>
      </c>
      <c r="B64" s="14">
        <f t="shared" si="1"/>
        <v>4</v>
      </c>
      <c r="C64" s="14">
        <f t="shared" si="2"/>
        <v>0</v>
      </c>
    </row>
    <row r="65" spans="1:3" ht="15" customHeight="1" x14ac:dyDescent="0.25">
      <c r="A65" s="14" t="s">
        <v>50</v>
      </c>
      <c r="B65" s="14">
        <f t="shared" si="1"/>
        <v>4</v>
      </c>
      <c r="C65" s="14">
        <f t="shared" si="2"/>
        <v>0</v>
      </c>
    </row>
    <row r="66" spans="1:3" ht="15" customHeight="1" x14ac:dyDescent="0.25">
      <c r="A66" s="14" t="s">
        <v>52</v>
      </c>
      <c r="B66" s="14">
        <f t="shared" si="1"/>
        <v>2</v>
      </c>
      <c r="C66" s="14">
        <f t="shared" si="2"/>
        <v>1</v>
      </c>
    </row>
    <row r="67" spans="1:3" ht="15" customHeight="1" x14ac:dyDescent="0.25">
      <c r="A67" s="14" t="s">
        <v>54</v>
      </c>
      <c r="B67" s="14">
        <f t="shared" si="1"/>
        <v>2</v>
      </c>
      <c r="C67" s="14">
        <f t="shared" si="2"/>
        <v>1</v>
      </c>
    </row>
    <row r="68" spans="1:3" ht="15" customHeight="1" x14ac:dyDescent="0.25">
      <c r="A68" s="14" t="s">
        <v>56</v>
      </c>
      <c r="B68" s="14">
        <f t="shared" si="1"/>
        <v>3</v>
      </c>
      <c r="C68" s="14">
        <f t="shared" si="2"/>
        <v>0</v>
      </c>
    </row>
    <row r="69" spans="1:3" ht="15" customHeight="1" x14ac:dyDescent="0.25">
      <c r="A69" s="14" t="s">
        <v>58</v>
      </c>
      <c r="B69" s="14">
        <f t="shared" si="1"/>
        <v>4</v>
      </c>
      <c r="C69" s="14">
        <f t="shared" si="2"/>
        <v>0</v>
      </c>
    </row>
    <row r="70" spans="1:3" ht="15" customHeight="1" x14ac:dyDescent="0.25">
      <c r="A70" s="14" t="s">
        <v>60</v>
      </c>
      <c r="B70" s="14">
        <f t="shared" si="1"/>
        <v>3</v>
      </c>
      <c r="C70" s="14">
        <f t="shared" si="2"/>
        <v>0</v>
      </c>
    </row>
    <row r="71" spans="1:3" ht="15" customHeight="1" x14ac:dyDescent="0.25">
      <c r="A71" s="14" t="s">
        <v>62</v>
      </c>
      <c r="B71" s="14">
        <f t="shared" si="1"/>
        <v>0</v>
      </c>
      <c r="C71" s="14">
        <f t="shared" si="2"/>
        <v>4</v>
      </c>
    </row>
    <row r="72" spans="1:3" ht="15" customHeight="1" x14ac:dyDescent="0.25">
      <c r="A72" s="14" t="s">
        <v>64</v>
      </c>
      <c r="B72" s="14">
        <f t="shared" si="1"/>
        <v>0</v>
      </c>
      <c r="C72" s="14">
        <f t="shared" si="2"/>
        <v>4</v>
      </c>
    </row>
    <row r="73" spans="1:3" ht="15" customHeight="1" x14ac:dyDescent="0.25">
      <c r="A73" s="14" t="s">
        <v>66</v>
      </c>
      <c r="B73" s="14">
        <f t="shared" si="1"/>
        <v>0</v>
      </c>
      <c r="C73" s="14">
        <f t="shared" si="2"/>
        <v>3</v>
      </c>
    </row>
    <row r="74" spans="1:3" ht="15" customHeight="1" x14ac:dyDescent="0.25">
      <c r="A74" s="14" t="s">
        <v>68</v>
      </c>
      <c r="B74" s="14">
        <f t="shared" si="1"/>
        <v>0</v>
      </c>
      <c r="C74" s="14">
        <f t="shared" si="2"/>
        <v>2</v>
      </c>
    </row>
    <row r="75" spans="1:3" ht="15" customHeight="1" x14ac:dyDescent="0.25">
      <c r="A75" s="14" t="s">
        <v>70</v>
      </c>
      <c r="B75" s="14">
        <f t="shared" si="1"/>
        <v>4</v>
      </c>
      <c r="C75" s="14">
        <f t="shared" si="2"/>
        <v>0</v>
      </c>
    </row>
    <row r="76" spans="1:3" ht="15" customHeight="1" x14ac:dyDescent="0.25">
      <c r="A76" s="14" t="s">
        <v>72</v>
      </c>
      <c r="B76" s="14">
        <f t="shared" si="1"/>
        <v>3</v>
      </c>
      <c r="C76" s="14">
        <f t="shared" si="2"/>
        <v>1</v>
      </c>
    </row>
    <row r="77" spans="1:3" ht="15" customHeight="1" x14ac:dyDescent="0.25">
      <c r="A77" s="14" t="s">
        <v>74</v>
      </c>
      <c r="B77" s="14">
        <f t="shared" si="1"/>
        <v>6</v>
      </c>
      <c r="C77" s="14">
        <f t="shared" si="2"/>
        <v>0</v>
      </c>
    </row>
    <row r="78" spans="1:3" ht="15" customHeight="1" x14ac:dyDescent="0.25">
      <c r="A78" s="14" t="s">
        <v>76</v>
      </c>
      <c r="B78" s="14">
        <f t="shared" si="1"/>
        <v>4</v>
      </c>
      <c r="C78" s="14">
        <f t="shared" si="2"/>
        <v>0</v>
      </c>
    </row>
    <row r="79" spans="1:3" ht="15" customHeight="1" x14ac:dyDescent="0.25">
      <c r="A79" s="14" t="s">
        <v>78</v>
      </c>
      <c r="B79" s="14">
        <f t="shared" si="1"/>
        <v>1</v>
      </c>
      <c r="C79" s="14">
        <f t="shared" si="2"/>
        <v>1</v>
      </c>
    </row>
    <row r="80" spans="1:3" ht="15" customHeight="1" x14ac:dyDescent="0.25">
      <c r="A80" s="14" t="s">
        <v>80</v>
      </c>
      <c r="B80" s="14">
        <f t="shared" si="1"/>
        <v>3</v>
      </c>
      <c r="C80" s="14">
        <f t="shared" si="2"/>
        <v>0</v>
      </c>
    </row>
    <row r="81" spans="1:3" ht="15" customHeight="1" x14ac:dyDescent="0.25">
      <c r="A81" s="14" t="s">
        <v>82</v>
      </c>
      <c r="B81" s="14">
        <f t="shared" si="1"/>
        <v>2</v>
      </c>
      <c r="C81" s="14">
        <f t="shared" si="2"/>
        <v>1</v>
      </c>
    </row>
    <row r="82" spans="1:3" ht="15" customHeight="1" x14ac:dyDescent="0.25">
      <c r="A82" s="14" t="s">
        <v>84</v>
      </c>
      <c r="B82" s="14">
        <f t="shared" si="1"/>
        <v>4</v>
      </c>
      <c r="C82" s="14">
        <f t="shared" si="2"/>
        <v>0</v>
      </c>
    </row>
    <row r="83" spans="1:3" ht="15" customHeight="1" x14ac:dyDescent="0.25">
      <c r="A83" s="14" t="s">
        <v>86</v>
      </c>
      <c r="B83" s="14">
        <f t="shared" si="1"/>
        <v>2</v>
      </c>
      <c r="C83" s="14">
        <f t="shared" si="2"/>
        <v>1</v>
      </c>
    </row>
    <row r="84" spans="1:3" ht="15" customHeight="1" x14ac:dyDescent="0.25">
      <c r="A84" s="14" t="s">
        <v>88</v>
      </c>
      <c r="B84" s="14">
        <f t="shared" si="1"/>
        <v>4</v>
      </c>
      <c r="C84" s="14">
        <f t="shared" si="2"/>
        <v>0</v>
      </c>
    </row>
    <row r="85" spans="1:3" ht="15" customHeight="1" x14ac:dyDescent="0.25">
      <c r="A85" s="14" t="s">
        <v>90</v>
      </c>
      <c r="B85" s="14">
        <f t="shared" si="1"/>
        <v>2</v>
      </c>
      <c r="C85" s="14">
        <f t="shared" si="2"/>
        <v>0</v>
      </c>
    </row>
    <row r="86" spans="1:3" ht="15" customHeight="1" x14ac:dyDescent="0.25">
      <c r="A86" s="14" t="s">
        <v>92</v>
      </c>
      <c r="B86" s="14">
        <f t="shared" si="1"/>
        <v>3</v>
      </c>
      <c r="C86" s="14">
        <f t="shared" si="2"/>
        <v>0</v>
      </c>
    </row>
    <row r="87" spans="1:3" ht="15" customHeight="1" x14ac:dyDescent="0.25">
      <c r="A87" s="14" t="s">
        <v>94</v>
      </c>
      <c r="B87" s="14">
        <f t="shared" si="1"/>
        <v>2</v>
      </c>
      <c r="C87" s="14">
        <f t="shared" si="2"/>
        <v>1</v>
      </c>
    </row>
    <row r="88" spans="1:3" ht="15" customHeight="1" x14ac:dyDescent="0.25">
      <c r="A88" s="14" t="s">
        <v>96</v>
      </c>
      <c r="B88" s="14">
        <f t="shared" si="1"/>
        <v>2</v>
      </c>
      <c r="C88" s="14">
        <f t="shared" si="2"/>
        <v>1</v>
      </c>
    </row>
    <row r="89" spans="1:3" ht="15" customHeight="1" x14ac:dyDescent="0.25">
      <c r="A89" s="14" t="s">
        <v>98</v>
      </c>
      <c r="B89" s="14">
        <f t="shared" si="1"/>
        <v>3</v>
      </c>
      <c r="C89" s="14">
        <f t="shared" si="2"/>
        <v>0</v>
      </c>
    </row>
  </sheetData>
  <mergeCells count="2">
    <mergeCell ref="A1:G1"/>
    <mergeCell ref="A45:B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zoomScaleNormal="100" workbookViewId="0">
      <selection activeCell="B6" sqref="B6"/>
    </sheetView>
  </sheetViews>
  <sheetFormatPr defaultColWidth="8.7109375" defaultRowHeight="15" x14ac:dyDescent="0.25"/>
  <cols>
    <col min="1" max="1" width="10" customWidth="1"/>
    <col min="2" max="2" width="45" customWidth="1"/>
    <col min="3" max="3" width="8" customWidth="1"/>
    <col min="4" max="4" width="12" customWidth="1"/>
    <col min="5" max="5" width="11" customWidth="1"/>
    <col min="6" max="6" width="12" customWidth="1"/>
    <col min="7" max="7" width="10" customWidth="1"/>
  </cols>
  <sheetData>
    <row r="1" spans="1:7" ht="27.75" customHeight="1" x14ac:dyDescent="0.25">
      <c r="A1" s="22" t="s">
        <v>102</v>
      </c>
      <c r="B1" s="22"/>
      <c r="C1" s="22"/>
      <c r="D1" s="22"/>
      <c r="E1" s="22"/>
      <c r="F1" s="22"/>
      <c r="G1" s="22"/>
    </row>
    <row r="3" spans="1:7" ht="19.5" customHeight="1" x14ac:dyDescent="0.25">
      <c r="A3" s="21" t="s">
        <v>13</v>
      </c>
      <c r="B3" s="21" t="s">
        <v>14</v>
      </c>
      <c r="C3" s="21" t="s">
        <v>15</v>
      </c>
      <c r="D3" s="21" t="s">
        <v>16</v>
      </c>
      <c r="E3" s="21" t="s">
        <v>17</v>
      </c>
      <c r="F3" s="21" t="s">
        <v>5</v>
      </c>
      <c r="G3" s="21" t="s">
        <v>1</v>
      </c>
    </row>
    <row r="4" spans="1:7" ht="15" customHeight="1" x14ac:dyDescent="0.25">
      <c r="A4" s="8" t="s">
        <v>18</v>
      </c>
      <c r="B4" s="15" t="s">
        <v>19</v>
      </c>
      <c r="C4" s="8">
        <v>4</v>
      </c>
      <c r="D4" s="10">
        <v>3</v>
      </c>
      <c r="E4" s="11">
        <v>1</v>
      </c>
      <c r="F4" s="16">
        <f t="shared" ref="F4:F45" si="0">D4/C4</f>
        <v>0.75</v>
      </c>
      <c r="G4" s="8">
        <v>2</v>
      </c>
    </row>
    <row r="5" spans="1:7" ht="15" customHeight="1" x14ac:dyDescent="0.25">
      <c r="A5" s="2" t="s">
        <v>20</v>
      </c>
      <c r="B5" s="17" t="s">
        <v>21</v>
      </c>
      <c r="C5" s="2">
        <v>4</v>
      </c>
      <c r="D5" s="4">
        <v>3</v>
      </c>
      <c r="E5" s="5">
        <v>1</v>
      </c>
      <c r="F5" s="18">
        <f t="shared" si="0"/>
        <v>0.75</v>
      </c>
      <c r="G5" s="2">
        <v>2</v>
      </c>
    </row>
    <row r="6" spans="1:7" ht="15" customHeight="1" x14ac:dyDescent="0.25">
      <c r="A6" s="8" t="s">
        <v>22</v>
      </c>
      <c r="B6" s="15" t="s">
        <v>23</v>
      </c>
      <c r="C6" s="8">
        <v>4</v>
      </c>
      <c r="D6" s="10">
        <v>4</v>
      </c>
      <c r="E6" s="9">
        <v>0</v>
      </c>
      <c r="F6" s="16">
        <f t="shared" si="0"/>
        <v>1</v>
      </c>
      <c r="G6" s="8">
        <v>2</v>
      </c>
    </row>
    <row r="7" spans="1:7" ht="15" customHeight="1" x14ac:dyDescent="0.25">
      <c r="A7" s="2" t="s">
        <v>24</v>
      </c>
      <c r="B7" s="17" t="s">
        <v>25</v>
      </c>
      <c r="C7" s="2">
        <v>5</v>
      </c>
      <c r="D7" s="4">
        <v>5</v>
      </c>
      <c r="E7" s="3">
        <v>0</v>
      </c>
      <c r="F7" s="18">
        <f t="shared" si="0"/>
        <v>1</v>
      </c>
      <c r="G7" s="2">
        <v>2</v>
      </c>
    </row>
    <row r="8" spans="1:7" ht="15" customHeight="1" x14ac:dyDescent="0.25">
      <c r="A8" s="8" t="s">
        <v>26</v>
      </c>
      <c r="B8" s="15" t="s">
        <v>27</v>
      </c>
      <c r="C8" s="8">
        <v>4</v>
      </c>
      <c r="D8" s="10">
        <v>4</v>
      </c>
      <c r="E8" s="9">
        <v>0</v>
      </c>
      <c r="F8" s="16">
        <f t="shared" si="0"/>
        <v>1</v>
      </c>
      <c r="G8" s="8">
        <v>2</v>
      </c>
    </row>
    <row r="9" spans="1:7" ht="15" customHeight="1" x14ac:dyDescent="0.25">
      <c r="A9" s="2" t="s">
        <v>28</v>
      </c>
      <c r="B9" s="17" t="s">
        <v>29</v>
      </c>
      <c r="C9" s="2">
        <v>4</v>
      </c>
      <c r="D9" s="4">
        <v>1</v>
      </c>
      <c r="E9" s="5">
        <v>3</v>
      </c>
      <c r="F9" s="18">
        <f t="shared" si="0"/>
        <v>0.25</v>
      </c>
      <c r="G9" s="2">
        <v>2</v>
      </c>
    </row>
    <row r="10" spans="1:7" ht="15" customHeight="1" x14ac:dyDescent="0.25">
      <c r="A10" s="8" t="s">
        <v>30</v>
      </c>
      <c r="B10" s="15" t="s">
        <v>31</v>
      </c>
      <c r="C10" s="8">
        <v>4</v>
      </c>
      <c r="D10" s="10">
        <v>3</v>
      </c>
      <c r="E10" s="11">
        <v>1</v>
      </c>
      <c r="F10" s="16">
        <f t="shared" si="0"/>
        <v>0.75</v>
      </c>
      <c r="G10" s="8">
        <v>2</v>
      </c>
    </row>
    <row r="11" spans="1:7" ht="15" customHeight="1" x14ac:dyDescent="0.25">
      <c r="A11" s="2" t="s">
        <v>32</v>
      </c>
      <c r="B11" s="17" t="s">
        <v>33</v>
      </c>
      <c r="C11" s="2">
        <v>3</v>
      </c>
      <c r="D11" s="4">
        <v>1</v>
      </c>
      <c r="E11" s="5">
        <v>2</v>
      </c>
      <c r="F11" s="18">
        <f t="shared" si="0"/>
        <v>0.33333333333333331</v>
      </c>
      <c r="G11" s="2">
        <v>2</v>
      </c>
    </row>
    <row r="12" spans="1:7" ht="15" customHeight="1" x14ac:dyDescent="0.25">
      <c r="A12" s="8" t="s">
        <v>34</v>
      </c>
      <c r="B12" s="15" t="s">
        <v>35</v>
      </c>
      <c r="C12" s="8">
        <v>3</v>
      </c>
      <c r="D12" s="10">
        <v>3</v>
      </c>
      <c r="E12" s="9">
        <v>0</v>
      </c>
      <c r="F12" s="16">
        <f t="shared" si="0"/>
        <v>1</v>
      </c>
      <c r="G12" s="8">
        <v>2</v>
      </c>
    </row>
    <row r="13" spans="1:7" ht="15" customHeight="1" x14ac:dyDescent="0.25">
      <c r="A13" s="2" t="s">
        <v>36</v>
      </c>
      <c r="B13" s="17" t="s">
        <v>37</v>
      </c>
      <c r="C13" s="2">
        <v>3</v>
      </c>
      <c r="D13" s="4">
        <v>1</v>
      </c>
      <c r="E13" s="5">
        <v>2</v>
      </c>
      <c r="F13" s="18">
        <f t="shared" si="0"/>
        <v>0.33333333333333331</v>
      </c>
      <c r="G13" s="2">
        <v>2</v>
      </c>
    </row>
    <row r="14" spans="1:7" ht="15" customHeight="1" x14ac:dyDescent="0.25">
      <c r="A14" s="8" t="s">
        <v>38</v>
      </c>
      <c r="B14" s="15" t="s">
        <v>39</v>
      </c>
      <c r="C14" s="8">
        <v>3</v>
      </c>
      <c r="D14" s="10">
        <v>3</v>
      </c>
      <c r="E14" s="9">
        <v>0</v>
      </c>
      <c r="F14" s="16">
        <f t="shared" si="0"/>
        <v>1</v>
      </c>
      <c r="G14" s="8">
        <v>2</v>
      </c>
    </row>
    <row r="15" spans="1:7" ht="15" customHeight="1" x14ac:dyDescent="0.25">
      <c r="A15" s="2" t="s">
        <v>40</v>
      </c>
      <c r="B15" s="17" t="s">
        <v>41</v>
      </c>
      <c r="C15" s="2">
        <v>4</v>
      </c>
      <c r="D15" s="4">
        <v>0</v>
      </c>
      <c r="E15" s="5">
        <v>4</v>
      </c>
      <c r="F15" s="18">
        <f t="shared" si="0"/>
        <v>0</v>
      </c>
      <c r="G15" s="2">
        <v>2</v>
      </c>
    </row>
    <row r="16" spans="1:7" ht="15" customHeight="1" x14ac:dyDescent="0.25">
      <c r="A16" s="8" t="s">
        <v>42</v>
      </c>
      <c r="B16" s="15" t="s">
        <v>43</v>
      </c>
      <c r="C16" s="8">
        <v>2</v>
      </c>
      <c r="D16" s="10">
        <v>1</v>
      </c>
      <c r="E16" s="11">
        <v>1</v>
      </c>
      <c r="F16" s="16">
        <f t="shared" si="0"/>
        <v>0.5</v>
      </c>
      <c r="G16" s="8">
        <v>2</v>
      </c>
    </row>
    <row r="17" spans="1:7" ht="15" customHeight="1" x14ac:dyDescent="0.25">
      <c r="A17" s="2" t="s">
        <v>44</v>
      </c>
      <c r="B17" s="17" t="s">
        <v>45</v>
      </c>
      <c r="C17" s="2">
        <v>2</v>
      </c>
      <c r="D17" s="4">
        <v>2</v>
      </c>
      <c r="E17" s="3">
        <v>0</v>
      </c>
      <c r="F17" s="18">
        <f t="shared" si="0"/>
        <v>1</v>
      </c>
      <c r="G17" s="2">
        <v>2</v>
      </c>
    </row>
    <row r="18" spans="1:7" ht="15" customHeight="1" x14ac:dyDescent="0.25">
      <c r="A18" s="8" t="s">
        <v>46</v>
      </c>
      <c r="B18" s="15" t="s">
        <v>47</v>
      </c>
      <c r="C18" s="8">
        <v>3</v>
      </c>
      <c r="D18" s="10">
        <v>3</v>
      </c>
      <c r="E18" s="9">
        <v>0</v>
      </c>
      <c r="F18" s="16">
        <f t="shared" si="0"/>
        <v>1</v>
      </c>
      <c r="G18" s="8">
        <v>2</v>
      </c>
    </row>
    <row r="19" spans="1:7" ht="15" customHeight="1" x14ac:dyDescent="0.25">
      <c r="A19" s="2" t="s">
        <v>48</v>
      </c>
      <c r="B19" s="17" t="s">
        <v>49</v>
      </c>
      <c r="C19" s="2">
        <v>4</v>
      </c>
      <c r="D19" s="4">
        <v>4</v>
      </c>
      <c r="E19" s="3">
        <v>0</v>
      </c>
      <c r="F19" s="18">
        <f t="shared" si="0"/>
        <v>1</v>
      </c>
      <c r="G19" s="2">
        <v>2</v>
      </c>
    </row>
    <row r="20" spans="1:7" ht="15" customHeight="1" x14ac:dyDescent="0.25">
      <c r="A20" s="8" t="s">
        <v>50</v>
      </c>
      <c r="B20" s="15" t="s">
        <v>51</v>
      </c>
      <c r="C20" s="8">
        <v>4</v>
      </c>
      <c r="D20" s="10">
        <v>4</v>
      </c>
      <c r="E20" s="9">
        <v>0</v>
      </c>
      <c r="F20" s="16">
        <f t="shared" si="0"/>
        <v>1</v>
      </c>
      <c r="G20" s="8">
        <v>2</v>
      </c>
    </row>
    <row r="21" spans="1:7" ht="15" customHeight="1" x14ac:dyDescent="0.25">
      <c r="A21" s="2" t="s">
        <v>52</v>
      </c>
      <c r="B21" s="17" t="s">
        <v>53</v>
      </c>
      <c r="C21" s="2">
        <v>3</v>
      </c>
      <c r="D21" s="4">
        <v>2</v>
      </c>
      <c r="E21" s="5">
        <v>1</v>
      </c>
      <c r="F21" s="18">
        <f t="shared" si="0"/>
        <v>0.66666666666666663</v>
      </c>
      <c r="G21" s="2">
        <v>2</v>
      </c>
    </row>
    <row r="22" spans="1:7" ht="15" customHeight="1" x14ac:dyDescent="0.25">
      <c r="A22" s="8" t="s">
        <v>54</v>
      </c>
      <c r="B22" s="15" t="s">
        <v>55</v>
      </c>
      <c r="C22" s="8">
        <v>3</v>
      </c>
      <c r="D22" s="10">
        <v>2</v>
      </c>
      <c r="E22" s="11">
        <v>1</v>
      </c>
      <c r="F22" s="16">
        <f t="shared" si="0"/>
        <v>0.66666666666666663</v>
      </c>
      <c r="G22" s="8">
        <v>2</v>
      </c>
    </row>
    <row r="23" spans="1:7" ht="15" customHeight="1" x14ac:dyDescent="0.25">
      <c r="A23" s="2" t="s">
        <v>56</v>
      </c>
      <c r="B23" s="17" t="s">
        <v>57</v>
      </c>
      <c r="C23" s="2">
        <v>3</v>
      </c>
      <c r="D23" s="4">
        <v>3</v>
      </c>
      <c r="E23" s="3">
        <v>0</v>
      </c>
      <c r="F23" s="18">
        <f t="shared" si="0"/>
        <v>1</v>
      </c>
      <c r="G23" s="2">
        <v>2</v>
      </c>
    </row>
    <row r="24" spans="1:7" ht="15" customHeight="1" x14ac:dyDescent="0.25">
      <c r="A24" s="8" t="s">
        <v>58</v>
      </c>
      <c r="B24" s="15" t="s">
        <v>59</v>
      </c>
      <c r="C24" s="8">
        <v>4</v>
      </c>
      <c r="D24" s="10">
        <v>2</v>
      </c>
      <c r="E24" s="11">
        <v>2</v>
      </c>
      <c r="F24" s="16">
        <f t="shared" si="0"/>
        <v>0.5</v>
      </c>
      <c r="G24" s="8">
        <v>2</v>
      </c>
    </row>
    <row r="25" spans="1:7" ht="15" customHeight="1" x14ac:dyDescent="0.25">
      <c r="A25" s="2" t="s">
        <v>60</v>
      </c>
      <c r="B25" s="17" t="s">
        <v>61</v>
      </c>
      <c r="C25" s="2">
        <v>3</v>
      </c>
      <c r="D25" s="4">
        <v>3</v>
      </c>
      <c r="E25" s="3">
        <v>0</v>
      </c>
      <c r="F25" s="18">
        <f t="shared" si="0"/>
        <v>1</v>
      </c>
      <c r="G25" s="2">
        <v>2</v>
      </c>
    </row>
    <row r="26" spans="1:7" ht="15" customHeight="1" x14ac:dyDescent="0.25">
      <c r="A26" s="8" t="s">
        <v>62</v>
      </c>
      <c r="B26" s="15" t="s">
        <v>63</v>
      </c>
      <c r="C26" s="8">
        <v>4</v>
      </c>
      <c r="D26" s="10">
        <v>0</v>
      </c>
      <c r="E26" s="11">
        <v>4</v>
      </c>
      <c r="F26" s="16">
        <f t="shared" si="0"/>
        <v>0</v>
      </c>
      <c r="G26" s="8">
        <v>2</v>
      </c>
    </row>
    <row r="27" spans="1:7" ht="15" customHeight="1" x14ac:dyDescent="0.25">
      <c r="A27" s="2" t="s">
        <v>64</v>
      </c>
      <c r="B27" s="17" t="s">
        <v>65</v>
      </c>
      <c r="C27" s="2">
        <v>4</v>
      </c>
      <c r="D27" s="4">
        <v>1</v>
      </c>
      <c r="E27" s="5">
        <v>3</v>
      </c>
      <c r="F27" s="18">
        <f t="shared" si="0"/>
        <v>0.25</v>
      </c>
      <c r="G27" s="2">
        <v>2</v>
      </c>
    </row>
    <row r="28" spans="1:7" ht="15" customHeight="1" x14ac:dyDescent="0.25">
      <c r="A28" s="8" t="s">
        <v>66</v>
      </c>
      <c r="B28" s="15" t="s">
        <v>67</v>
      </c>
      <c r="C28" s="8">
        <v>3</v>
      </c>
      <c r="D28" s="10">
        <v>0</v>
      </c>
      <c r="E28" s="11">
        <v>3</v>
      </c>
      <c r="F28" s="16">
        <f t="shared" si="0"/>
        <v>0</v>
      </c>
      <c r="G28" s="8">
        <v>2</v>
      </c>
    </row>
    <row r="29" spans="1:7" ht="15" customHeight="1" x14ac:dyDescent="0.25">
      <c r="A29" s="2" t="s">
        <v>68</v>
      </c>
      <c r="B29" s="17" t="s">
        <v>69</v>
      </c>
      <c r="C29" s="2">
        <v>2</v>
      </c>
      <c r="D29" s="4">
        <v>1</v>
      </c>
      <c r="E29" s="5">
        <v>1</v>
      </c>
      <c r="F29" s="18">
        <f t="shared" si="0"/>
        <v>0.5</v>
      </c>
      <c r="G29" s="2">
        <v>2</v>
      </c>
    </row>
    <row r="30" spans="1:7" ht="15" customHeight="1" x14ac:dyDescent="0.25">
      <c r="A30" s="8" t="s">
        <v>70</v>
      </c>
      <c r="B30" s="15" t="s">
        <v>71</v>
      </c>
      <c r="C30" s="8">
        <v>4</v>
      </c>
      <c r="D30" s="10">
        <v>4</v>
      </c>
      <c r="E30" s="9">
        <v>0</v>
      </c>
      <c r="F30" s="16">
        <f t="shared" si="0"/>
        <v>1</v>
      </c>
      <c r="G30" s="8">
        <v>2</v>
      </c>
    </row>
    <row r="31" spans="1:7" ht="15" customHeight="1" x14ac:dyDescent="0.25">
      <c r="A31" s="2" t="s">
        <v>72</v>
      </c>
      <c r="B31" s="17" t="s">
        <v>73</v>
      </c>
      <c r="C31" s="2">
        <v>4</v>
      </c>
      <c r="D31" s="4">
        <v>3</v>
      </c>
      <c r="E31" s="5">
        <v>1</v>
      </c>
      <c r="F31" s="18">
        <f t="shared" si="0"/>
        <v>0.75</v>
      </c>
      <c r="G31" s="2">
        <v>2</v>
      </c>
    </row>
    <row r="32" spans="1:7" ht="15" customHeight="1" x14ac:dyDescent="0.25">
      <c r="A32" s="8" t="s">
        <v>74</v>
      </c>
      <c r="B32" s="15" t="s">
        <v>75</v>
      </c>
      <c r="C32" s="8">
        <v>6</v>
      </c>
      <c r="D32" s="10">
        <v>5</v>
      </c>
      <c r="E32" s="11">
        <v>1</v>
      </c>
      <c r="F32" s="16">
        <f t="shared" si="0"/>
        <v>0.83333333333333337</v>
      </c>
      <c r="G32" s="8">
        <v>2</v>
      </c>
    </row>
    <row r="33" spans="1:7" ht="15" customHeight="1" x14ac:dyDescent="0.25">
      <c r="A33" s="2" t="s">
        <v>76</v>
      </c>
      <c r="B33" s="17" t="s">
        <v>77</v>
      </c>
      <c r="C33" s="2">
        <v>4</v>
      </c>
      <c r="D33" s="4">
        <v>4</v>
      </c>
      <c r="E33" s="3">
        <v>0</v>
      </c>
      <c r="F33" s="18">
        <f t="shared" si="0"/>
        <v>1</v>
      </c>
      <c r="G33" s="2">
        <v>2</v>
      </c>
    </row>
    <row r="34" spans="1:7" ht="15" customHeight="1" x14ac:dyDescent="0.25">
      <c r="A34" s="8" t="s">
        <v>78</v>
      </c>
      <c r="B34" s="15" t="s">
        <v>79</v>
      </c>
      <c r="C34" s="8">
        <v>2</v>
      </c>
      <c r="D34" s="10">
        <v>1</v>
      </c>
      <c r="E34" s="11">
        <v>1</v>
      </c>
      <c r="F34" s="16">
        <f t="shared" si="0"/>
        <v>0.5</v>
      </c>
      <c r="G34" s="8">
        <v>2</v>
      </c>
    </row>
    <row r="35" spans="1:7" ht="15" customHeight="1" x14ac:dyDescent="0.25">
      <c r="A35" s="2" t="s">
        <v>80</v>
      </c>
      <c r="B35" s="17" t="s">
        <v>81</v>
      </c>
      <c r="C35" s="2">
        <v>3</v>
      </c>
      <c r="D35" s="4">
        <v>3</v>
      </c>
      <c r="E35" s="3">
        <v>0</v>
      </c>
      <c r="F35" s="18">
        <f t="shared" si="0"/>
        <v>1</v>
      </c>
      <c r="G35" s="2">
        <v>2</v>
      </c>
    </row>
    <row r="36" spans="1:7" ht="15" customHeight="1" x14ac:dyDescent="0.25">
      <c r="A36" s="8" t="s">
        <v>82</v>
      </c>
      <c r="B36" s="15" t="s">
        <v>83</v>
      </c>
      <c r="C36" s="8">
        <v>3</v>
      </c>
      <c r="D36" s="10">
        <v>2</v>
      </c>
      <c r="E36" s="11">
        <v>1</v>
      </c>
      <c r="F36" s="16">
        <f t="shared" si="0"/>
        <v>0.66666666666666663</v>
      </c>
      <c r="G36" s="8">
        <v>2</v>
      </c>
    </row>
    <row r="37" spans="1:7" ht="15" customHeight="1" x14ac:dyDescent="0.25">
      <c r="A37" s="2" t="s">
        <v>84</v>
      </c>
      <c r="B37" s="17" t="s">
        <v>85</v>
      </c>
      <c r="C37" s="2">
        <v>4</v>
      </c>
      <c r="D37" s="4">
        <v>4</v>
      </c>
      <c r="E37" s="3">
        <v>0</v>
      </c>
      <c r="F37" s="18">
        <f t="shared" si="0"/>
        <v>1</v>
      </c>
      <c r="G37" s="2">
        <v>2</v>
      </c>
    </row>
    <row r="38" spans="1:7" ht="15" customHeight="1" x14ac:dyDescent="0.25">
      <c r="A38" s="8" t="s">
        <v>86</v>
      </c>
      <c r="B38" s="15" t="s">
        <v>87</v>
      </c>
      <c r="C38" s="8">
        <v>3</v>
      </c>
      <c r="D38" s="10">
        <v>2</v>
      </c>
      <c r="E38" s="11">
        <v>1</v>
      </c>
      <c r="F38" s="16">
        <f t="shared" si="0"/>
        <v>0.66666666666666663</v>
      </c>
      <c r="G38" s="8">
        <v>2</v>
      </c>
    </row>
    <row r="39" spans="1:7" ht="15" customHeight="1" x14ac:dyDescent="0.25">
      <c r="A39" s="2" t="s">
        <v>88</v>
      </c>
      <c r="B39" s="17" t="s">
        <v>89</v>
      </c>
      <c r="C39" s="2">
        <v>4</v>
      </c>
      <c r="D39" s="4">
        <v>4</v>
      </c>
      <c r="E39" s="3">
        <v>0</v>
      </c>
      <c r="F39" s="18">
        <f t="shared" si="0"/>
        <v>1</v>
      </c>
      <c r="G39" s="2">
        <v>2</v>
      </c>
    </row>
    <row r="40" spans="1:7" ht="15" customHeight="1" x14ac:dyDescent="0.25">
      <c r="A40" s="8" t="s">
        <v>90</v>
      </c>
      <c r="B40" s="15" t="s">
        <v>91</v>
      </c>
      <c r="C40" s="8">
        <v>2</v>
      </c>
      <c r="D40" s="10">
        <v>2</v>
      </c>
      <c r="E40" s="9">
        <v>0</v>
      </c>
      <c r="F40" s="16">
        <f t="shared" si="0"/>
        <v>1</v>
      </c>
      <c r="G40" s="8">
        <v>2</v>
      </c>
    </row>
    <row r="41" spans="1:7" ht="15" customHeight="1" x14ac:dyDescent="0.25">
      <c r="A41" s="2" t="s">
        <v>92</v>
      </c>
      <c r="B41" s="17" t="s">
        <v>93</v>
      </c>
      <c r="C41" s="2">
        <v>3</v>
      </c>
      <c r="D41" s="4">
        <v>3</v>
      </c>
      <c r="E41" s="3">
        <v>0</v>
      </c>
      <c r="F41" s="18">
        <f t="shared" si="0"/>
        <v>1</v>
      </c>
      <c r="G41" s="2">
        <v>2</v>
      </c>
    </row>
    <row r="42" spans="1:7" ht="15" customHeight="1" x14ac:dyDescent="0.25">
      <c r="A42" s="8" t="s">
        <v>94</v>
      </c>
      <c r="B42" s="15" t="s">
        <v>95</v>
      </c>
      <c r="C42" s="8">
        <v>3</v>
      </c>
      <c r="D42" s="10">
        <v>1</v>
      </c>
      <c r="E42" s="11">
        <v>2</v>
      </c>
      <c r="F42" s="16">
        <f t="shared" si="0"/>
        <v>0.33333333333333331</v>
      </c>
      <c r="G42" s="8">
        <v>2</v>
      </c>
    </row>
    <row r="43" spans="1:7" ht="15" customHeight="1" x14ac:dyDescent="0.25">
      <c r="A43" s="2" t="s">
        <v>96</v>
      </c>
      <c r="B43" s="17" t="s">
        <v>97</v>
      </c>
      <c r="C43" s="2">
        <v>3</v>
      </c>
      <c r="D43" s="4">
        <v>3</v>
      </c>
      <c r="E43" s="3">
        <v>0</v>
      </c>
      <c r="F43" s="18">
        <f t="shared" si="0"/>
        <v>1</v>
      </c>
      <c r="G43" s="2">
        <v>2</v>
      </c>
    </row>
    <row r="44" spans="1:7" ht="15" customHeight="1" x14ac:dyDescent="0.25">
      <c r="A44" s="8" t="s">
        <v>98</v>
      </c>
      <c r="B44" s="15" t="s">
        <v>99</v>
      </c>
      <c r="C44" s="8">
        <v>3</v>
      </c>
      <c r="D44" s="10">
        <v>3</v>
      </c>
      <c r="E44" s="9">
        <v>0</v>
      </c>
      <c r="F44" s="16">
        <f t="shared" si="0"/>
        <v>1</v>
      </c>
      <c r="G44" s="8">
        <v>2</v>
      </c>
    </row>
    <row r="45" spans="1:7" ht="15" customHeight="1" x14ac:dyDescent="0.25">
      <c r="A45" s="23" t="s">
        <v>100</v>
      </c>
      <c r="B45" s="23"/>
      <c r="C45" s="19">
        <f>SUM(C4:C44)</f>
        <v>140</v>
      </c>
      <c r="D45" s="19">
        <f>SUM(D4:D44)</f>
        <v>103</v>
      </c>
      <c r="E45" s="19">
        <f>SUM(E4:E44)</f>
        <v>37</v>
      </c>
      <c r="F45" s="20">
        <f t="shared" si="0"/>
        <v>0.73571428571428577</v>
      </c>
    </row>
    <row r="48" spans="1:7" ht="23.25" customHeight="1" x14ac:dyDescent="0.25">
      <c r="A48" s="1" t="s">
        <v>101</v>
      </c>
      <c r="B48" s="1" t="s">
        <v>16</v>
      </c>
      <c r="C48" s="1" t="s">
        <v>17</v>
      </c>
    </row>
    <row r="49" spans="1:3" ht="15" customHeight="1" x14ac:dyDescent="0.25">
      <c r="A49" s="14" t="s">
        <v>18</v>
      </c>
      <c r="B49" s="14">
        <f t="shared" ref="B49:B89" si="1">D4</f>
        <v>3</v>
      </c>
      <c r="C49" s="14">
        <f t="shared" ref="C49:C89" si="2">E4</f>
        <v>1</v>
      </c>
    </row>
    <row r="50" spans="1:3" ht="15" customHeight="1" x14ac:dyDescent="0.25">
      <c r="A50" s="14" t="s">
        <v>20</v>
      </c>
      <c r="B50" s="14">
        <f t="shared" si="1"/>
        <v>3</v>
      </c>
      <c r="C50" s="14">
        <f t="shared" si="2"/>
        <v>1</v>
      </c>
    </row>
    <row r="51" spans="1:3" ht="15" customHeight="1" x14ac:dyDescent="0.25">
      <c r="A51" s="14" t="s">
        <v>22</v>
      </c>
      <c r="B51" s="14">
        <f t="shared" si="1"/>
        <v>4</v>
      </c>
      <c r="C51" s="14">
        <f t="shared" si="2"/>
        <v>0</v>
      </c>
    </row>
    <row r="52" spans="1:3" ht="15" customHeight="1" x14ac:dyDescent="0.25">
      <c r="A52" s="14" t="s">
        <v>24</v>
      </c>
      <c r="B52" s="14">
        <f t="shared" si="1"/>
        <v>5</v>
      </c>
      <c r="C52" s="14">
        <f t="shared" si="2"/>
        <v>0</v>
      </c>
    </row>
    <row r="53" spans="1:3" ht="15" customHeight="1" x14ac:dyDescent="0.25">
      <c r="A53" s="14" t="s">
        <v>26</v>
      </c>
      <c r="B53" s="14">
        <f t="shared" si="1"/>
        <v>4</v>
      </c>
      <c r="C53" s="14">
        <f t="shared" si="2"/>
        <v>0</v>
      </c>
    </row>
    <row r="54" spans="1:3" ht="15" customHeight="1" x14ac:dyDescent="0.25">
      <c r="A54" s="14" t="s">
        <v>28</v>
      </c>
      <c r="B54" s="14">
        <f t="shared" si="1"/>
        <v>1</v>
      </c>
      <c r="C54" s="14">
        <f t="shared" si="2"/>
        <v>3</v>
      </c>
    </row>
    <row r="55" spans="1:3" ht="15" customHeight="1" x14ac:dyDescent="0.25">
      <c r="A55" s="14" t="s">
        <v>30</v>
      </c>
      <c r="B55" s="14">
        <f t="shared" si="1"/>
        <v>3</v>
      </c>
      <c r="C55" s="14">
        <f t="shared" si="2"/>
        <v>1</v>
      </c>
    </row>
    <row r="56" spans="1:3" ht="15" customHeight="1" x14ac:dyDescent="0.25">
      <c r="A56" s="14" t="s">
        <v>32</v>
      </c>
      <c r="B56" s="14">
        <f t="shared" si="1"/>
        <v>1</v>
      </c>
      <c r="C56" s="14">
        <f t="shared" si="2"/>
        <v>2</v>
      </c>
    </row>
    <row r="57" spans="1:3" ht="15" customHeight="1" x14ac:dyDescent="0.25">
      <c r="A57" s="14" t="s">
        <v>34</v>
      </c>
      <c r="B57" s="14">
        <f t="shared" si="1"/>
        <v>3</v>
      </c>
      <c r="C57" s="14">
        <f t="shared" si="2"/>
        <v>0</v>
      </c>
    </row>
    <row r="58" spans="1:3" ht="15" customHeight="1" x14ac:dyDescent="0.25">
      <c r="A58" s="14" t="s">
        <v>36</v>
      </c>
      <c r="B58" s="14">
        <f t="shared" si="1"/>
        <v>1</v>
      </c>
      <c r="C58" s="14">
        <f t="shared" si="2"/>
        <v>2</v>
      </c>
    </row>
    <row r="59" spans="1:3" ht="15" customHeight="1" x14ac:dyDescent="0.25">
      <c r="A59" s="14" t="s">
        <v>38</v>
      </c>
      <c r="B59" s="14">
        <f t="shared" si="1"/>
        <v>3</v>
      </c>
      <c r="C59" s="14">
        <f t="shared" si="2"/>
        <v>0</v>
      </c>
    </row>
    <row r="60" spans="1:3" ht="15" customHeight="1" x14ac:dyDescent="0.25">
      <c r="A60" s="14" t="s">
        <v>40</v>
      </c>
      <c r="B60" s="14">
        <f t="shared" si="1"/>
        <v>0</v>
      </c>
      <c r="C60" s="14">
        <f t="shared" si="2"/>
        <v>4</v>
      </c>
    </row>
    <row r="61" spans="1:3" ht="15" customHeight="1" x14ac:dyDescent="0.25">
      <c r="A61" s="14" t="s">
        <v>42</v>
      </c>
      <c r="B61" s="14">
        <f t="shared" si="1"/>
        <v>1</v>
      </c>
      <c r="C61" s="14">
        <f t="shared" si="2"/>
        <v>1</v>
      </c>
    </row>
    <row r="62" spans="1:3" ht="15" customHeight="1" x14ac:dyDescent="0.25">
      <c r="A62" s="14" t="s">
        <v>44</v>
      </c>
      <c r="B62" s="14">
        <f t="shared" si="1"/>
        <v>2</v>
      </c>
      <c r="C62" s="14">
        <f t="shared" si="2"/>
        <v>0</v>
      </c>
    </row>
    <row r="63" spans="1:3" ht="15" customHeight="1" x14ac:dyDescent="0.25">
      <c r="A63" s="14" t="s">
        <v>46</v>
      </c>
      <c r="B63" s="14">
        <f t="shared" si="1"/>
        <v>3</v>
      </c>
      <c r="C63" s="14">
        <f t="shared" si="2"/>
        <v>0</v>
      </c>
    </row>
    <row r="64" spans="1:3" ht="15" customHeight="1" x14ac:dyDescent="0.25">
      <c r="A64" s="14" t="s">
        <v>48</v>
      </c>
      <c r="B64" s="14">
        <f t="shared" si="1"/>
        <v>4</v>
      </c>
      <c r="C64" s="14">
        <f t="shared" si="2"/>
        <v>0</v>
      </c>
    </row>
    <row r="65" spans="1:3" ht="15" customHeight="1" x14ac:dyDescent="0.25">
      <c r="A65" s="14" t="s">
        <v>50</v>
      </c>
      <c r="B65" s="14">
        <f t="shared" si="1"/>
        <v>4</v>
      </c>
      <c r="C65" s="14">
        <f t="shared" si="2"/>
        <v>0</v>
      </c>
    </row>
    <row r="66" spans="1:3" ht="15" customHeight="1" x14ac:dyDescent="0.25">
      <c r="A66" s="14" t="s">
        <v>52</v>
      </c>
      <c r="B66" s="14">
        <f t="shared" si="1"/>
        <v>2</v>
      </c>
      <c r="C66" s="14">
        <f t="shared" si="2"/>
        <v>1</v>
      </c>
    </row>
    <row r="67" spans="1:3" ht="15" customHeight="1" x14ac:dyDescent="0.25">
      <c r="A67" s="14" t="s">
        <v>54</v>
      </c>
      <c r="B67" s="14">
        <f t="shared" si="1"/>
        <v>2</v>
      </c>
      <c r="C67" s="14">
        <f t="shared" si="2"/>
        <v>1</v>
      </c>
    </row>
    <row r="68" spans="1:3" ht="15" customHeight="1" x14ac:dyDescent="0.25">
      <c r="A68" s="14" t="s">
        <v>56</v>
      </c>
      <c r="B68" s="14">
        <f t="shared" si="1"/>
        <v>3</v>
      </c>
      <c r="C68" s="14">
        <f t="shared" si="2"/>
        <v>0</v>
      </c>
    </row>
    <row r="69" spans="1:3" ht="15" customHeight="1" x14ac:dyDescent="0.25">
      <c r="A69" s="14" t="s">
        <v>58</v>
      </c>
      <c r="B69" s="14">
        <f t="shared" si="1"/>
        <v>2</v>
      </c>
      <c r="C69" s="14">
        <f t="shared" si="2"/>
        <v>2</v>
      </c>
    </row>
    <row r="70" spans="1:3" ht="15" customHeight="1" x14ac:dyDescent="0.25">
      <c r="A70" s="14" t="s">
        <v>60</v>
      </c>
      <c r="B70" s="14">
        <f t="shared" si="1"/>
        <v>3</v>
      </c>
      <c r="C70" s="14">
        <f t="shared" si="2"/>
        <v>0</v>
      </c>
    </row>
    <row r="71" spans="1:3" ht="15" customHeight="1" x14ac:dyDescent="0.25">
      <c r="A71" s="14" t="s">
        <v>62</v>
      </c>
      <c r="B71" s="14">
        <f t="shared" si="1"/>
        <v>0</v>
      </c>
      <c r="C71" s="14">
        <f t="shared" si="2"/>
        <v>4</v>
      </c>
    </row>
    <row r="72" spans="1:3" ht="15" customHeight="1" x14ac:dyDescent="0.25">
      <c r="A72" s="14" t="s">
        <v>64</v>
      </c>
      <c r="B72" s="14">
        <f t="shared" si="1"/>
        <v>1</v>
      </c>
      <c r="C72" s="14">
        <f t="shared" si="2"/>
        <v>3</v>
      </c>
    </row>
    <row r="73" spans="1:3" ht="15" customHeight="1" x14ac:dyDescent="0.25">
      <c r="A73" s="14" t="s">
        <v>66</v>
      </c>
      <c r="B73" s="14">
        <f t="shared" si="1"/>
        <v>0</v>
      </c>
      <c r="C73" s="14">
        <f t="shared" si="2"/>
        <v>3</v>
      </c>
    </row>
    <row r="74" spans="1:3" ht="15" customHeight="1" x14ac:dyDescent="0.25">
      <c r="A74" s="14" t="s">
        <v>68</v>
      </c>
      <c r="B74" s="14">
        <f t="shared" si="1"/>
        <v>1</v>
      </c>
      <c r="C74" s="14">
        <f t="shared" si="2"/>
        <v>1</v>
      </c>
    </row>
    <row r="75" spans="1:3" ht="15" customHeight="1" x14ac:dyDescent="0.25">
      <c r="A75" s="14" t="s">
        <v>70</v>
      </c>
      <c r="B75" s="14">
        <f t="shared" si="1"/>
        <v>4</v>
      </c>
      <c r="C75" s="14">
        <f t="shared" si="2"/>
        <v>0</v>
      </c>
    </row>
    <row r="76" spans="1:3" ht="15" customHeight="1" x14ac:dyDescent="0.25">
      <c r="A76" s="14" t="s">
        <v>72</v>
      </c>
      <c r="B76" s="14">
        <f t="shared" si="1"/>
        <v>3</v>
      </c>
      <c r="C76" s="14">
        <f t="shared" si="2"/>
        <v>1</v>
      </c>
    </row>
    <row r="77" spans="1:3" ht="15" customHeight="1" x14ac:dyDescent="0.25">
      <c r="A77" s="14" t="s">
        <v>74</v>
      </c>
      <c r="B77" s="14">
        <f t="shared" si="1"/>
        <v>5</v>
      </c>
      <c r="C77" s="14">
        <f t="shared" si="2"/>
        <v>1</v>
      </c>
    </row>
    <row r="78" spans="1:3" ht="15" customHeight="1" x14ac:dyDescent="0.25">
      <c r="A78" s="14" t="s">
        <v>76</v>
      </c>
      <c r="B78" s="14">
        <f t="shared" si="1"/>
        <v>4</v>
      </c>
      <c r="C78" s="14">
        <f t="shared" si="2"/>
        <v>0</v>
      </c>
    </row>
    <row r="79" spans="1:3" ht="15" customHeight="1" x14ac:dyDescent="0.25">
      <c r="A79" s="14" t="s">
        <v>78</v>
      </c>
      <c r="B79" s="14">
        <f t="shared" si="1"/>
        <v>1</v>
      </c>
      <c r="C79" s="14">
        <f t="shared" si="2"/>
        <v>1</v>
      </c>
    </row>
    <row r="80" spans="1:3" ht="15" customHeight="1" x14ac:dyDescent="0.25">
      <c r="A80" s="14" t="s">
        <v>80</v>
      </c>
      <c r="B80" s="14">
        <f t="shared" si="1"/>
        <v>3</v>
      </c>
      <c r="C80" s="14">
        <f t="shared" si="2"/>
        <v>0</v>
      </c>
    </row>
    <row r="81" spans="1:3" ht="15" customHeight="1" x14ac:dyDescent="0.25">
      <c r="A81" s="14" t="s">
        <v>82</v>
      </c>
      <c r="B81" s="14">
        <f t="shared" si="1"/>
        <v>2</v>
      </c>
      <c r="C81" s="14">
        <f t="shared" si="2"/>
        <v>1</v>
      </c>
    </row>
    <row r="82" spans="1:3" ht="15" customHeight="1" x14ac:dyDescent="0.25">
      <c r="A82" s="14" t="s">
        <v>84</v>
      </c>
      <c r="B82" s="14">
        <f t="shared" si="1"/>
        <v>4</v>
      </c>
      <c r="C82" s="14">
        <f t="shared" si="2"/>
        <v>0</v>
      </c>
    </row>
    <row r="83" spans="1:3" ht="15" customHeight="1" x14ac:dyDescent="0.25">
      <c r="A83" s="14" t="s">
        <v>86</v>
      </c>
      <c r="B83" s="14">
        <f t="shared" si="1"/>
        <v>2</v>
      </c>
      <c r="C83" s="14">
        <f t="shared" si="2"/>
        <v>1</v>
      </c>
    </row>
    <row r="84" spans="1:3" ht="15" customHeight="1" x14ac:dyDescent="0.25">
      <c r="A84" s="14" t="s">
        <v>88</v>
      </c>
      <c r="B84" s="14">
        <f t="shared" si="1"/>
        <v>4</v>
      </c>
      <c r="C84" s="14">
        <f t="shared" si="2"/>
        <v>0</v>
      </c>
    </row>
    <row r="85" spans="1:3" ht="15" customHeight="1" x14ac:dyDescent="0.25">
      <c r="A85" s="14" t="s">
        <v>90</v>
      </c>
      <c r="B85" s="14">
        <f t="shared" si="1"/>
        <v>2</v>
      </c>
      <c r="C85" s="14">
        <f t="shared" si="2"/>
        <v>0</v>
      </c>
    </row>
    <row r="86" spans="1:3" ht="15" customHeight="1" x14ac:dyDescent="0.25">
      <c r="A86" s="14" t="s">
        <v>92</v>
      </c>
      <c r="B86" s="14">
        <f t="shared" si="1"/>
        <v>3</v>
      </c>
      <c r="C86" s="14">
        <f t="shared" si="2"/>
        <v>0</v>
      </c>
    </row>
    <row r="87" spans="1:3" ht="15" customHeight="1" x14ac:dyDescent="0.25">
      <c r="A87" s="14" t="s">
        <v>94</v>
      </c>
      <c r="B87" s="14">
        <f t="shared" si="1"/>
        <v>1</v>
      </c>
      <c r="C87" s="14">
        <f t="shared" si="2"/>
        <v>2</v>
      </c>
    </row>
    <row r="88" spans="1:3" ht="15" customHeight="1" x14ac:dyDescent="0.25">
      <c r="A88" s="14" t="s">
        <v>96</v>
      </c>
      <c r="B88" s="14">
        <f t="shared" si="1"/>
        <v>3</v>
      </c>
      <c r="C88" s="14">
        <f t="shared" si="2"/>
        <v>0</v>
      </c>
    </row>
    <row r="89" spans="1:3" ht="15" customHeight="1" x14ac:dyDescent="0.25">
      <c r="A89" s="14" t="s">
        <v>98</v>
      </c>
      <c r="B89" s="14">
        <f t="shared" si="1"/>
        <v>3</v>
      </c>
      <c r="C89" s="14">
        <f t="shared" si="2"/>
        <v>0</v>
      </c>
    </row>
  </sheetData>
  <mergeCells count="2">
    <mergeCell ref="A1:G1"/>
    <mergeCell ref="A45:B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9"/>
  <sheetViews>
    <sheetView zoomScaleNormal="100" workbookViewId="0">
      <selection activeCell="G3" sqref="A3:G3"/>
    </sheetView>
  </sheetViews>
  <sheetFormatPr defaultColWidth="8.7109375" defaultRowHeight="15" x14ac:dyDescent="0.25"/>
  <cols>
    <col min="1" max="1" width="10" customWidth="1"/>
    <col min="2" max="2" width="45" customWidth="1"/>
    <col min="3" max="3" width="8" customWidth="1"/>
    <col min="4" max="4" width="12" customWidth="1"/>
    <col min="5" max="5" width="11" customWidth="1"/>
    <col min="6" max="6" width="12" customWidth="1"/>
    <col min="7" max="7" width="10" customWidth="1"/>
  </cols>
  <sheetData>
    <row r="1" spans="1:7" ht="27.75" customHeight="1" x14ac:dyDescent="0.25">
      <c r="A1" s="22" t="s">
        <v>103</v>
      </c>
      <c r="B1" s="22"/>
      <c r="C1" s="22"/>
      <c r="D1" s="22"/>
      <c r="E1" s="22"/>
      <c r="F1" s="22"/>
      <c r="G1" s="22"/>
    </row>
    <row r="3" spans="1:7" ht="19.5" customHeight="1" x14ac:dyDescent="0.25">
      <c r="A3" s="21" t="s">
        <v>13</v>
      </c>
      <c r="B3" s="21" t="s">
        <v>14</v>
      </c>
      <c r="C3" s="21" t="s">
        <v>15</v>
      </c>
      <c r="D3" s="21" t="s">
        <v>16</v>
      </c>
      <c r="E3" s="21" t="s">
        <v>17</v>
      </c>
      <c r="F3" s="21" t="s">
        <v>5</v>
      </c>
      <c r="G3" s="21" t="s">
        <v>1</v>
      </c>
    </row>
    <row r="4" spans="1:7" ht="15" customHeight="1" x14ac:dyDescent="0.25">
      <c r="A4" s="8" t="s">
        <v>18</v>
      </c>
      <c r="B4" s="15" t="s">
        <v>19</v>
      </c>
      <c r="C4" s="8">
        <v>4</v>
      </c>
      <c r="D4" s="10">
        <v>4</v>
      </c>
      <c r="E4" s="9">
        <v>0</v>
      </c>
      <c r="F4" s="16">
        <f t="shared" ref="F4:F45" si="0">D4/C4</f>
        <v>1</v>
      </c>
      <c r="G4" s="8">
        <v>3</v>
      </c>
    </row>
    <row r="5" spans="1:7" ht="15" customHeight="1" x14ac:dyDescent="0.25">
      <c r="A5" s="2" t="s">
        <v>20</v>
      </c>
      <c r="B5" s="17" t="s">
        <v>21</v>
      </c>
      <c r="C5" s="2">
        <v>4</v>
      </c>
      <c r="D5" s="4">
        <v>4</v>
      </c>
      <c r="E5" s="3">
        <v>0</v>
      </c>
      <c r="F5" s="18">
        <f t="shared" si="0"/>
        <v>1</v>
      </c>
      <c r="G5" s="2">
        <v>3</v>
      </c>
    </row>
    <row r="6" spans="1:7" ht="15" customHeight="1" x14ac:dyDescent="0.25">
      <c r="A6" s="8" t="s">
        <v>22</v>
      </c>
      <c r="B6" s="15" t="s">
        <v>23</v>
      </c>
      <c r="C6" s="8">
        <v>4</v>
      </c>
      <c r="D6" s="10">
        <v>4</v>
      </c>
      <c r="E6" s="9">
        <v>0</v>
      </c>
      <c r="F6" s="16">
        <f t="shared" si="0"/>
        <v>1</v>
      </c>
      <c r="G6" s="8">
        <v>3</v>
      </c>
    </row>
    <row r="7" spans="1:7" ht="15" customHeight="1" x14ac:dyDescent="0.25">
      <c r="A7" s="2" t="s">
        <v>24</v>
      </c>
      <c r="B7" s="17" t="s">
        <v>25</v>
      </c>
      <c r="C7" s="2">
        <v>5</v>
      </c>
      <c r="D7" s="4">
        <v>5</v>
      </c>
      <c r="E7" s="3">
        <v>0</v>
      </c>
      <c r="F7" s="18">
        <f t="shared" si="0"/>
        <v>1</v>
      </c>
      <c r="G7" s="2">
        <v>3</v>
      </c>
    </row>
    <row r="8" spans="1:7" ht="15" customHeight="1" x14ac:dyDescent="0.25">
      <c r="A8" s="8" t="s">
        <v>26</v>
      </c>
      <c r="B8" s="15" t="s">
        <v>27</v>
      </c>
      <c r="C8" s="8">
        <v>4</v>
      </c>
      <c r="D8" s="10">
        <v>4</v>
      </c>
      <c r="E8" s="9">
        <v>0</v>
      </c>
      <c r="F8" s="16">
        <f t="shared" si="0"/>
        <v>1</v>
      </c>
      <c r="G8" s="8">
        <v>3</v>
      </c>
    </row>
    <row r="9" spans="1:7" ht="15" customHeight="1" x14ac:dyDescent="0.25">
      <c r="A9" s="2" t="s">
        <v>28</v>
      </c>
      <c r="B9" s="17" t="s">
        <v>29</v>
      </c>
      <c r="C9" s="2">
        <v>4</v>
      </c>
      <c r="D9" s="4">
        <v>1</v>
      </c>
      <c r="E9" s="5">
        <v>3</v>
      </c>
      <c r="F9" s="18">
        <f t="shared" si="0"/>
        <v>0.25</v>
      </c>
      <c r="G9" s="2">
        <v>3</v>
      </c>
    </row>
    <row r="10" spans="1:7" ht="15" customHeight="1" x14ac:dyDescent="0.25">
      <c r="A10" s="8" t="s">
        <v>30</v>
      </c>
      <c r="B10" s="15" t="s">
        <v>31</v>
      </c>
      <c r="C10" s="8">
        <v>4</v>
      </c>
      <c r="D10" s="10">
        <v>3</v>
      </c>
      <c r="E10" s="11">
        <v>1</v>
      </c>
      <c r="F10" s="16">
        <f t="shared" si="0"/>
        <v>0.75</v>
      </c>
      <c r="G10" s="8">
        <v>3</v>
      </c>
    </row>
    <row r="11" spans="1:7" ht="15" customHeight="1" x14ac:dyDescent="0.25">
      <c r="A11" s="2" t="s">
        <v>32</v>
      </c>
      <c r="B11" s="17" t="s">
        <v>33</v>
      </c>
      <c r="C11" s="2">
        <v>3</v>
      </c>
      <c r="D11" s="4">
        <v>2</v>
      </c>
      <c r="E11" s="5">
        <v>1</v>
      </c>
      <c r="F11" s="18">
        <f t="shared" si="0"/>
        <v>0.66666666666666663</v>
      </c>
      <c r="G11" s="2">
        <v>3</v>
      </c>
    </row>
    <row r="12" spans="1:7" ht="15" customHeight="1" x14ac:dyDescent="0.25">
      <c r="A12" s="8" t="s">
        <v>34</v>
      </c>
      <c r="B12" s="15" t="s">
        <v>35</v>
      </c>
      <c r="C12" s="8">
        <v>3</v>
      </c>
      <c r="D12" s="10">
        <v>3</v>
      </c>
      <c r="E12" s="9">
        <v>0</v>
      </c>
      <c r="F12" s="16">
        <f t="shared" si="0"/>
        <v>1</v>
      </c>
      <c r="G12" s="8">
        <v>3</v>
      </c>
    </row>
    <row r="13" spans="1:7" ht="15" customHeight="1" x14ac:dyDescent="0.25">
      <c r="A13" s="2" t="s">
        <v>36</v>
      </c>
      <c r="B13" s="17" t="s">
        <v>37</v>
      </c>
      <c r="C13" s="2">
        <v>3</v>
      </c>
      <c r="D13" s="4">
        <v>1</v>
      </c>
      <c r="E13" s="5">
        <v>2</v>
      </c>
      <c r="F13" s="18">
        <f t="shared" si="0"/>
        <v>0.33333333333333331</v>
      </c>
      <c r="G13" s="2">
        <v>3</v>
      </c>
    </row>
    <row r="14" spans="1:7" ht="15" customHeight="1" x14ac:dyDescent="0.25">
      <c r="A14" s="8" t="s">
        <v>38</v>
      </c>
      <c r="B14" s="15" t="s">
        <v>39</v>
      </c>
      <c r="C14" s="8">
        <v>3</v>
      </c>
      <c r="D14" s="10">
        <v>2</v>
      </c>
      <c r="E14" s="11">
        <v>1</v>
      </c>
      <c r="F14" s="16">
        <f t="shared" si="0"/>
        <v>0.66666666666666663</v>
      </c>
      <c r="G14" s="8">
        <v>3</v>
      </c>
    </row>
    <row r="15" spans="1:7" ht="15" customHeight="1" x14ac:dyDescent="0.25">
      <c r="A15" s="2" t="s">
        <v>40</v>
      </c>
      <c r="B15" s="17" t="s">
        <v>41</v>
      </c>
      <c r="C15" s="2">
        <v>4</v>
      </c>
      <c r="D15" s="4">
        <v>4</v>
      </c>
      <c r="E15" s="3">
        <v>0</v>
      </c>
      <c r="F15" s="18">
        <f t="shared" si="0"/>
        <v>1</v>
      </c>
      <c r="G15" s="2">
        <v>3</v>
      </c>
    </row>
    <row r="16" spans="1:7" ht="15" customHeight="1" x14ac:dyDescent="0.25">
      <c r="A16" s="8" t="s">
        <v>42</v>
      </c>
      <c r="B16" s="15" t="s">
        <v>43</v>
      </c>
      <c r="C16" s="8">
        <v>2</v>
      </c>
      <c r="D16" s="10">
        <v>2</v>
      </c>
      <c r="E16" s="9">
        <v>0</v>
      </c>
      <c r="F16" s="16">
        <f t="shared" si="0"/>
        <v>1</v>
      </c>
      <c r="G16" s="8">
        <v>3</v>
      </c>
    </row>
    <row r="17" spans="1:7" ht="15" customHeight="1" x14ac:dyDescent="0.25">
      <c r="A17" s="2" t="s">
        <v>44</v>
      </c>
      <c r="B17" s="17" t="s">
        <v>45</v>
      </c>
      <c r="C17" s="2">
        <v>2</v>
      </c>
      <c r="D17" s="4">
        <v>2</v>
      </c>
      <c r="E17" s="3">
        <v>0</v>
      </c>
      <c r="F17" s="18">
        <f t="shared" si="0"/>
        <v>1</v>
      </c>
      <c r="G17" s="2">
        <v>3</v>
      </c>
    </row>
    <row r="18" spans="1:7" ht="15" customHeight="1" x14ac:dyDescent="0.25">
      <c r="A18" s="8" t="s">
        <v>46</v>
      </c>
      <c r="B18" s="15" t="s">
        <v>47</v>
      </c>
      <c r="C18" s="8">
        <v>3</v>
      </c>
      <c r="D18" s="10">
        <v>3</v>
      </c>
      <c r="E18" s="9">
        <v>0</v>
      </c>
      <c r="F18" s="16">
        <f t="shared" si="0"/>
        <v>1</v>
      </c>
      <c r="G18" s="8">
        <v>3</v>
      </c>
    </row>
    <row r="19" spans="1:7" ht="15" customHeight="1" x14ac:dyDescent="0.25">
      <c r="A19" s="2" t="s">
        <v>48</v>
      </c>
      <c r="B19" s="17" t="s">
        <v>49</v>
      </c>
      <c r="C19" s="2">
        <v>4</v>
      </c>
      <c r="D19" s="4">
        <v>4</v>
      </c>
      <c r="E19" s="3">
        <v>0</v>
      </c>
      <c r="F19" s="18">
        <f t="shared" si="0"/>
        <v>1</v>
      </c>
      <c r="G19" s="2">
        <v>3</v>
      </c>
    </row>
    <row r="20" spans="1:7" ht="15" customHeight="1" x14ac:dyDescent="0.25">
      <c r="A20" s="8" t="s">
        <v>50</v>
      </c>
      <c r="B20" s="15" t="s">
        <v>51</v>
      </c>
      <c r="C20" s="8">
        <v>4</v>
      </c>
      <c r="D20" s="10">
        <v>4</v>
      </c>
      <c r="E20" s="9">
        <v>0</v>
      </c>
      <c r="F20" s="16">
        <f t="shared" si="0"/>
        <v>1</v>
      </c>
      <c r="G20" s="8">
        <v>3</v>
      </c>
    </row>
    <row r="21" spans="1:7" ht="15" customHeight="1" x14ac:dyDescent="0.25">
      <c r="A21" s="2" t="s">
        <v>52</v>
      </c>
      <c r="B21" s="17" t="s">
        <v>53</v>
      </c>
      <c r="C21" s="2">
        <v>3</v>
      </c>
      <c r="D21" s="4">
        <v>1</v>
      </c>
      <c r="E21" s="5">
        <v>2</v>
      </c>
      <c r="F21" s="18">
        <f t="shared" si="0"/>
        <v>0.33333333333333331</v>
      </c>
      <c r="G21" s="2">
        <v>3</v>
      </c>
    </row>
    <row r="22" spans="1:7" ht="15" customHeight="1" x14ac:dyDescent="0.25">
      <c r="A22" s="8" t="s">
        <v>54</v>
      </c>
      <c r="B22" s="15" t="s">
        <v>55</v>
      </c>
      <c r="C22" s="8">
        <v>3</v>
      </c>
      <c r="D22" s="10">
        <v>2</v>
      </c>
      <c r="E22" s="11">
        <v>1</v>
      </c>
      <c r="F22" s="16">
        <f t="shared" si="0"/>
        <v>0.66666666666666663</v>
      </c>
      <c r="G22" s="8">
        <v>3</v>
      </c>
    </row>
    <row r="23" spans="1:7" ht="15" customHeight="1" x14ac:dyDescent="0.25">
      <c r="A23" s="2" t="s">
        <v>56</v>
      </c>
      <c r="B23" s="17" t="s">
        <v>57</v>
      </c>
      <c r="C23" s="2">
        <v>3</v>
      </c>
      <c r="D23" s="4">
        <v>3</v>
      </c>
      <c r="E23" s="3">
        <v>0</v>
      </c>
      <c r="F23" s="18">
        <f t="shared" si="0"/>
        <v>1</v>
      </c>
      <c r="G23" s="2">
        <v>3</v>
      </c>
    </row>
    <row r="24" spans="1:7" ht="15" customHeight="1" x14ac:dyDescent="0.25">
      <c r="A24" s="8" t="s">
        <v>58</v>
      </c>
      <c r="B24" s="15" t="s">
        <v>59</v>
      </c>
      <c r="C24" s="8">
        <v>4</v>
      </c>
      <c r="D24" s="10">
        <v>1</v>
      </c>
      <c r="E24" s="11">
        <v>3</v>
      </c>
      <c r="F24" s="16">
        <f t="shared" si="0"/>
        <v>0.25</v>
      </c>
      <c r="G24" s="8">
        <v>3</v>
      </c>
    </row>
    <row r="25" spans="1:7" ht="15" customHeight="1" x14ac:dyDescent="0.25">
      <c r="A25" s="2" t="s">
        <v>60</v>
      </c>
      <c r="B25" s="17" t="s">
        <v>61</v>
      </c>
      <c r="C25" s="2">
        <v>3</v>
      </c>
      <c r="D25" s="4">
        <v>3</v>
      </c>
      <c r="E25" s="3">
        <v>0</v>
      </c>
      <c r="F25" s="18">
        <f t="shared" si="0"/>
        <v>1</v>
      </c>
      <c r="G25" s="2">
        <v>3</v>
      </c>
    </row>
    <row r="26" spans="1:7" ht="15" customHeight="1" x14ac:dyDescent="0.25">
      <c r="A26" s="8" t="s">
        <v>62</v>
      </c>
      <c r="B26" s="15" t="s">
        <v>63</v>
      </c>
      <c r="C26" s="8">
        <v>4</v>
      </c>
      <c r="D26" s="10">
        <v>4</v>
      </c>
      <c r="E26" s="9">
        <v>0</v>
      </c>
      <c r="F26" s="16">
        <f t="shared" si="0"/>
        <v>1</v>
      </c>
      <c r="G26" s="8">
        <v>3</v>
      </c>
    </row>
    <row r="27" spans="1:7" ht="15" customHeight="1" x14ac:dyDescent="0.25">
      <c r="A27" s="2" t="s">
        <v>64</v>
      </c>
      <c r="B27" s="17" t="s">
        <v>65</v>
      </c>
      <c r="C27" s="2">
        <v>4</v>
      </c>
      <c r="D27" s="4">
        <v>1</v>
      </c>
      <c r="E27" s="5">
        <v>3</v>
      </c>
      <c r="F27" s="18">
        <f t="shared" si="0"/>
        <v>0.25</v>
      </c>
      <c r="G27" s="2">
        <v>3</v>
      </c>
    </row>
    <row r="28" spans="1:7" ht="15" customHeight="1" x14ac:dyDescent="0.25">
      <c r="A28" s="8" t="s">
        <v>66</v>
      </c>
      <c r="B28" s="15" t="s">
        <v>67</v>
      </c>
      <c r="C28" s="8">
        <v>3</v>
      </c>
      <c r="D28" s="10">
        <v>3</v>
      </c>
      <c r="E28" s="9">
        <v>0</v>
      </c>
      <c r="F28" s="16">
        <f t="shared" si="0"/>
        <v>1</v>
      </c>
      <c r="G28" s="8">
        <v>3</v>
      </c>
    </row>
    <row r="29" spans="1:7" ht="15" customHeight="1" x14ac:dyDescent="0.25">
      <c r="A29" s="2" t="s">
        <v>68</v>
      </c>
      <c r="B29" s="17" t="s">
        <v>69</v>
      </c>
      <c r="C29" s="2">
        <v>2</v>
      </c>
      <c r="D29" s="4">
        <v>1</v>
      </c>
      <c r="E29" s="5">
        <v>1</v>
      </c>
      <c r="F29" s="18">
        <f t="shared" si="0"/>
        <v>0.5</v>
      </c>
      <c r="G29" s="2">
        <v>3</v>
      </c>
    </row>
    <row r="30" spans="1:7" ht="15" customHeight="1" x14ac:dyDescent="0.25">
      <c r="A30" s="8" t="s">
        <v>70</v>
      </c>
      <c r="B30" s="15" t="s">
        <v>71</v>
      </c>
      <c r="C30" s="8">
        <v>4</v>
      </c>
      <c r="D30" s="10">
        <v>4</v>
      </c>
      <c r="E30" s="9">
        <v>0</v>
      </c>
      <c r="F30" s="16">
        <f t="shared" si="0"/>
        <v>1</v>
      </c>
      <c r="G30" s="8">
        <v>3</v>
      </c>
    </row>
    <row r="31" spans="1:7" ht="15" customHeight="1" x14ac:dyDescent="0.25">
      <c r="A31" s="2" t="s">
        <v>72</v>
      </c>
      <c r="B31" s="17" t="s">
        <v>73</v>
      </c>
      <c r="C31" s="2">
        <v>4</v>
      </c>
      <c r="D31" s="4">
        <v>2</v>
      </c>
      <c r="E31" s="5">
        <v>2</v>
      </c>
      <c r="F31" s="18">
        <f t="shared" si="0"/>
        <v>0.5</v>
      </c>
      <c r="G31" s="2">
        <v>3</v>
      </c>
    </row>
    <row r="32" spans="1:7" ht="15" customHeight="1" x14ac:dyDescent="0.25">
      <c r="A32" s="8" t="s">
        <v>74</v>
      </c>
      <c r="B32" s="15" t="s">
        <v>75</v>
      </c>
      <c r="C32" s="8">
        <v>6</v>
      </c>
      <c r="D32" s="10">
        <v>2</v>
      </c>
      <c r="E32" s="11">
        <v>4</v>
      </c>
      <c r="F32" s="16">
        <f t="shared" si="0"/>
        <v>0.33333333333333331</v>
      </c>
      <c r="G32" s="8">
        <v>3</v>
      </c>
    </row>
    <row r="33" spans="1:7" ht="15" customHeight="1" x14ac:dyDescent="0.25">
      <c r="A33" s="2" t="s">
        <v>76</v>
      </c>
      <c r="B33" s="17" t="s">
        <v>77</v>
      </c>
      <c r="C33" s="2">
        <v>4</v>
      </c>
      <c r="D33" s="4">
        <v>4</v>
      </c>
      <c r="E33" s="3">
        <v>0</v>
      </c>
      <c r="F33" s="18">
        <f t="shared" si="0"/>
        <v>1</v>
      </c>
      <c r="G33" s="2">
        <v>3</v>
      </c>
    </row>
    <row r="34" spans="1:7" ht="15" customHeight="1" x14ac:dyDescent="0.25">
      <c r="A34" s="8" t="s">
        <v>78</v>
      </c>
      <c r="B34" s="15" t="s">
        <v>79</v>
      </c>
      <c r="C34" s="8">
        <v>2</v>
      </c>
      <c r="D34" s="10">
        <v>1</v>
      </c>
      <c r="E34" s="11">
        <v>1</v>
      </c>
      <c r="F34" s="16">
        <f t="shared" si="0"/>
        <v>0.5</v>
      </c>
      <c r="G34" s="8">
        <v>3</v>
      </c>
    </row>
    <row r="35" spans="1:7" ht="15" customHeight="1" x14ac:dyDescent="0.25">
      <c r="A35" s="2" t="s">
        <v>80</v>
      </c>
      <c r="B35" s="17" t="s">
        <v>81</v>
      </c>
      <c r="C35" s="2">
        <v>3</v>
      </c>
      <c r="D35" s="4">
        <v>3</v>
      </c>
      <c r="E35" s="3">
        <v>0</v>
      </c>
      <c r="F35" s="18">
        <f t="shared" si="0"/>
        <v>1</v>
      </c>
      <c r="G35" s="2">
        <v>3</v>
      </c>
    </row>
    <row r="36" spans="1:7" ht="15" customHeight="1" x14ac:dyDescent="0.25">
      <c r="A36" s="8" t="s">
        <v>82</v>
      </c>
      <c r="B36" s="15" t="s">
        <v>83</v>
      </c>
      <c r="C36" s="8">
        <v>3</v>
      </c>
      <c r="D36" s="10">
        <v>3</v>
      </c>
      <c r="E36" s="9">
        <v>0</v>
      </c>
      <c r="F36" s="16">
        <f t="shared" si="0"/>
        <v>1</v>
      </c>
      <c r="G36" s="8">
        <v>3</v>
      </c>
    </row>
    <row r="37" spans="1:7" ht="15" customHeight="1" x14ac:dyDescent="0.25">
      <c r="A37" s="2" t="s">
        <v>84</v>
      </c>
      <c r="B37" s="17" t="s">
        <v>85</v>
      </c>
      <c r="C37" s="2">
        <v>4</v>
      </c>
      <c r="D37" s="4">
        <v>4</v>
      </c>
      <c r="E37" s="3">
        <v>0</v>
      </c>
      <c r="F37" s="18">
        <f t="shared" si="0"/>
        <v>1</v>
      </c>
      <c r="G37" s="2">
        <v>3</v>
      </c>
    </row>
    <row r="38" spans="1:7" ht="15" customHeight="1" x14ac:dyDescent="0.25">
      <c r="A38" s="8" t="s">
        <v>86</v>
      </c>
      <c r="B38" s="15" t="s">
        <v>87</v>
      </c>
      <c r="C38" s="8">
        <v>3</v>
      </c>
      <c r="D38" s="10">
        <v>2</v>
      </c>
      <c r="E38" s="11">
        <v>1</v>
      </c>
      <c r="F38" s="16">
        <f t="shared" si="0"/>
        <v>0.66666666666666663</v>
      </c>
      <c r="G38" s="8">
        <v>3</v>
      </c>
    </row>
    <row r="39" spans="1:7" ht="15" customHeight="1" x14ac:dyDescent="0.25">
      <c r="A39" s="2" t="s">
        <v>88</v>
      </c>
      <c r="B39" s="17" t="s">
        <v>89</v>
      </c>
      <c r="C39" s="2">
        <v>4</v>
      </c>
      <c r="D39" s="4">
        <v>4</v>
      </c>
      <c r="E39" s="3">
        <v>0</v>
      </c>
      <c r="F39" s="18">
        <f t="shared" si="0"/>
        <v>1</v>
      </c>
      <c r="G39" s="2">
        <v>3</v>
      </c>
    </row>
    <row r="40" spans="1:7" ht="15" customHeight="1" x14ac:dyDescent="0.25">
      <c r="A40" s="8" t="s">
        <v>90</v>
      </c>
      <c r="B40" s="15" t="s">
        <v>91</v>
      </c>
      <c r="C40" s="8">
        <v>2</v>
      </c>
      <c r="D40" s="10">
        <v>2</v>
      </c>
      <c r="E40" s="9">
        <v>0</v>
      </c>
      <c r="F40" s="16">
        <f t="shared" si="0"/>
        <v>1</v>
      </c>
      <c r="G40" s="8">
        <v>3</v>
      </c>
    </row>
    <row r="41" spans="1:7" ht="15" customHeight="1" x14ac:dyDescent="0.25">
      <c r="A41" s="2" t="s">
        <v>92</v>
      </c>
      <c r="B41" s="17" t="s">
        <v>93</v>
      </c>
      <c r="C41" s="2">
        <v>3</v>
      </c>
      <c r="D41" s="4">
        <v>3</v>
      </c>
      <c r="E41" s="3">
        <v>0</v>
      </c>
      <c r="F41" s="18">
        <f t="shared" si="0"/>
        <v>1</v>
      </c>
      <c r="G41" s="2">
        <v>3</v>
      </c>
    </row>
    <row r="42" spans="1:7" ht="15" customHeight="1" x14ac:dyDescent="0.25">
      <c r="A42" s="8" t="s">
        <v>94</v>
      </c>
      <c r="B42" s="15" t="s">
        <v>95</v>
      </c>
      <c r="C42" s="8">
        <v>3</v>
      </c>
      <c r="D42" s="10">
        <v>2</v>
      </c>
      <c r="E42" s="11">
        <v>1</v>
      </c>
      <c r="F42" s="16">
        <f t="shared" si="0"/>
        <v>0.66666666666666663</v>
      </c>
      <c r="G42" s="8">
        <v>3</v>
      </c>
    </row>
    <row r="43" spans="1:7" ht="15" customHeight="1" x14ac:dyDescent="0.25">
      <c r="A43" s="2" t="s">
        <v>96</v>
      </c>
      <c r="B43" s="17" t="s">
        <v>97</v>
      </c>
      <c r="C43" s="2">
        <v>3</v>
      </c>
      <c r="D43" s="4">
        <v>3</v>
      </c>
      <c r="E43" s="3">
        <v>0</v>
      </c>
      <c r="F43" s="18">
        <f t="shared" si="0"/>
        <v>1</v>
      </c>
      <c r="G43" s="2">
        <v>3</v>
      </c>
    </row>
    <row r="44" spans="1:7" ht="15" customHeight="1" x14ac:dyDescent="0.25">
      <c r="A44" s="8" t="s">
        <v>98</v>
      </c>
      <c r="B44" s="15" t="s">
        <v>99</v>
      </c>
      <c r="C44" s="8">
        <v>3</v>
      </c>
      <c r="D44" s="10">
        <v>3</v>
      </c>
      <c r="E44" s="9">
        <v>0</v>
      </c>
      <c r="F44" s="16">
        <f t="shared" si="0"/>
        <v>1</v>
      </c>
      <c r="G44" s="8">
        <v>3</v>
      </c>
    </row>
    <row r="45" spans="1:7" ht="15" customHeight="1" x14ac:dyDescent="0.25">
      <c r="A45" s="23" t="s">
        <v>100</v>
      </c>
      <c r="B45" s="23"/>
      <c r="C45" s="19">
        <f>SUM(C4:C44)</f>
        <v>140</v>
      </c>
      <c r="D45" s="19">
        <f>SUM(D4:D44)</f>
        <v>113</v>
      </c>
      <c r="E45" s="19">
        <f>SUM(E4:E44)</f>
        <v>27</v>
      </c>
      <c r="F45" s="20">
        <f t="shared" si="0"/>
        <v>0.80714285714285716</v>
      </c>
    </row>
    <row r="48" spans="1:7" ht="23.25" customHeight="1" x14ac:dyDescent="0.25">
      <c r="A48" s="1" t="s">
        <v>101</v>
      </c>
      <c r="B48" s="1" t="s">
        <v>16</v>
      </c>
      <c r="C48" s="1" t="s">
        <v>17</v>
      </c>
    </row>
    <row r="49" spans="1:3" ht="15" customHeight="1" x14ac:dyDescent="0.25">
      <c r="A49" s="14" t="s">
        <v>18</v>
      </c>
      <c r="B49" s="14">
        <f t="shared" ref="B49:B89" si="1">D4</f>
        <v>4</v>
      </c>
      <c r="C49" s="14">
        <f t="shared" ref="C49:C89" si="2">E4</f>
        <v>0</v>
      </c>
    </row>
    <row r="50" spans="1:3" ht="15" customHeight="1" x14ac:dyDescent="0.25">
      <c r="A50" s="14" t="s">
        <v>20</v>
      </c>
      <c r="B50" s="14">
        <f t="shared" si="1"/>
        <v>4</v>
      </c>
      <c r="C50" s="14">
        <f t="shared" si="2"/>
        <v>0</v>
      </c>
    </row>
    <row r="51" spans="1:3" ht="15" customHeight="1" x14ac:dyDescent="0.25">
      <c r="A51" s="14" t="s">
        <v>22</v>
      </c>
      <c r="B51" s="14">
        <f t="shared" si="1"/>
        <v>4</v>
      </c>
      <c r="C51" s="14">
        <f t="shared" si="2"/>
        <v>0</v>
      </c>
    </row>
    <row r="52" spans="1:3" ht="15" customHeight="1" x14ac:dyDescent="0.25">
      <c r="A52" s="14" t="s">
        <v>24</v>
      </c>
      <c r="B52" s="14">
        <f t="shared" si="1"/>
        <v>5</v>
      </c>
      <c r="C52" s="14">
        <f t="shared" si="2"/>
        <v>0</v>
      </c>
    </row>
    <row r="53" spans="1:3" ht="15" customHeight="1" x14ac:dyDescent="0.25">
      <c r="A53" s="14" t="s">
        <v>26</v>
      </c>
      <c r="B53" s="14">
        <f t="shared" si="1"/>
        <v>4</v>
      </c>
      <c r="C53" s="14">
        <f t="shared" si="2"/>
        <v>0</v>
      </c>
    </row>
    <row r="54" spans="1:3" ht="15" customHeight="1" x14ac:dyDescent="0.25">
      <c r="A54" s="14" t="s">
        <v>28</v>
      </c>
      <c r="B54" s="14">
        <f t="shared" si="1"/>
        <v>1</v>
      </c>
      <c r="C54" s="14">
        <f t="shared" si="2"/>
        <v>3</v>
      </c>
    </row>
    <row r="55" spans="1:3" ht="15" customHeight="1" x14ac:dyDescent="0.25">
      <c r="A55" s="14" t="s">
        <v>30</v>
      </c>
      <c r="B55" s="14">
        <f t="shared" si="1"/>
        <v>3</v>
      </c>
      <c r="C55" s="14">
        <f t="shared" si="2"/>
        <v>1</v>
      </c>
    </row>
    <row r="56" spans="1:3" ht="15" customHeight="1" x14ac:dyDescent="0.25">
      <c r="A56" s="14" t="s">
        <v>32</v>
      </c>
      <c r="B56" s="14">
        <f t="shared" si="1"/>
        <v>2</v>
      </c>
      <c r="C56" s="14">
        <f t="shared" si="2"/>
        <v>1</v>
      </c>
    </row>
    <row r="57" spans="1:3" ht="15" customHeight="1" x14ac:dyDescent="0.25">
      <c r="A57" s="14" t="s">
        <v>34</v>
      </c>
      <c r="B57" s="14">
        <f t="shared" si="1"/>
        <v>3</v>
      </c>
      <c r="C57" s="14">
        <f t="shared" si="2"/>
        <v>0</v>
      </c>
    </row>
    <row r="58" spans="1:3" ht="15" customHeight="1" x14ac:dyDescent="0.25">
      <c r="A58" s="14" t="s">
        <v>36</v>
      </c>
      <c r="B58" s="14">
        <f t="shared" si="1"/>
        <v>1</v>
      </c>
      <c r="C58" s="14">
        <f t="shared" si="2"/>
        <v>2</v>
      </c>
    </row>
    <row r="59" spans="1:3" ht="15" customHeight="1" x14ac:dyDescent="0.25">
      <c r="A59" s="14" t="s">
        <v>38</v>
      </c>
      <c r="B59" s="14">
        <f t="shared" si="1"/>
        <v>2</v>
      </c>
      <c r="C59" s="14">
        <f t="shared" si="2"/>
        <v>1</v>
      </c>
    </row>
    <row r="60" spans="1:3" ht="15" customHeight="1" x14ac:dyDescent="0.25">
      <c r="A60" s="14" t="s">
        <v>40</v>
      </c>
      <c r="B60" s="14">
        <f t="shared" si="1"/>
        <v>4</v>
      </c>
      <c r="C60" s="14">
        <f t="shared" si="2"/>
        <v>0</v>
      </c>
    </row>
    <row r="61" spans="1:3" ht="15" customHeight="1" x14ac:dyDescent="0.25">
      <c r="A61" s="14" t="s">
        <v>42</v>
      </c>
      <c r="B61" s="14">
        <f t="shared" si="1"/>
        <v>2</v>
      </c>
      <c r="C61" s="14">
        <f t="shared" si="2"/>
        <v>0</v>
      </c>
    </row>
    <row r="62" spans="1:3" ht="15" customHeight="1" x14ac:dyDescent="0.25">
      <c r="A62" s="14" t="s">
        <v>44</v>
      </c>
      <c r="B62" s="14">
        <f t="shared" si="1"/>
        <v>2</v>
      </c>
      <c r="C62" s="14">
        <f t="shared" si="2"/>
        <v>0</v>
      </c>
    </row>
    <row r="63" spans="1:3" ht="15" customHeight="1" x14ac:dyDescent="0.25">
      <c r="A63" s="14" t="s">
        <v>46</v>
      </c>
      <c r="B63" s="14">
        <f t="shared" si="1"/>
        <v>3</v>
      </c>
      <c r="C63" s="14">
        <f t="shared" si="2"/>
        <v>0</v>
      </c>
    </row>
    <row r="64" spans="1:3" ht="15" customHeight="1" x14ac:dyDescent="0.25">
      <c r="A64" s="14" t="s">
        <v>48</v>
      </c>
      <c r="B64" s="14">
        <f t="shared" si="1"/>
        <v>4</v>
      </c>
      <c r="C64" s="14">
        <f t="shared" si="2"/>
        <v>0</v>
      </c>
    </row>
    <row r="65" spans="1:3" ht="15" customHeight="1" x14ac:dyDescent="0.25">
      <c r="A65" s="14" t="s">
        <v>50</v>
      </c>
      <c r="B65" s="14">
        <f t="shared" si="1"/>
        <v>4</v>
      </c>
      <c r="C65" s="14">
        <f t="shared" si="2"/>
        <v>0</v>
      </c>
    </row>
    <row r="66" spans="1:3" ht="15" customHeight="1" x14ac:dyDescent="0.25">
      <c r="A66" s="14" t="s">
        <v>52</v>
      </c>
      <c r="B66" s="14">
        <f t="shared" si="1"/>
        <v>1</v>
      </c>
      <c r="C66" s="14">
        <f t="shared" si="2"/>
        <v>2</v>
      </c>
    </row>
    <row r="67" spans="1:3" ht="15" customHeight="1" x14ac:dyDescent="0.25">
      <c r="A67" s="14" t="s">
        <v>54</v>
      </c>
      <c r="B67" s="14">
        <f t="shared" si="1"/>
        <v>2</v>
      </c>
      <c r="C67" s="14">
        <f t="shared" si="2"/>
        <v>1</v>
      </c>
    </row>
    <row r="68" spans="1:3" ht="15" customHeight="1" x14ac:dyDescent="0.25">
      <c r="A68" s="14" t="s">
        <v>56</v>
      </c>
      <c r="B68" s="14">
        <f t="shared" si="1"/>
        <v>3</v>
      </c>
      <c r="C68" s="14">
        <f t="shared" si="2"/>
        <v>0</v>
      </c>
    </row>
    <row r="69" spans="1:3" ht="15" customHeight="1" x14ac:dyDescent="0.25">
      <c r="A69" s="14" t="s">
        <v>58</v>
      </c>
      <c r="B69" s="14">
        <f t="shared" si="1"/>
        <v>1</v>
      </c>
      <c r="C69" s="14">
        <f t="shared" si="2"/>
        <v>3</v>
      </c>
    </row>
    <row r="70" spans="1:3" ht="15" customHeight="1" x14ac:dyDescent="0.25">
      <c r="A70" s="14" t="s">
        <v>60</v>
      </c>
      <c r="B70" s="14">
        <f t="shared" si="1"/>
        <v>3</v>
      </c>
      <c r="C70" s="14">
        <f t="shared" si="2"/>
        <v>0</v>
      </c>
    </row>
    <row r="71" spans="1:3" ht="15" customHeight="1" x14ac:dyDescent="0.25">
      <c r="A71" s="14" t="s">
        <v>62</v>
      </c>
      <c r="B71" s="14">
        <f t="shared" si="1"/>
        <v>4</v>
      </c>
      <c r="C71" s="14">
        <f t="shared" si="2"/>
        <v>0</v>
      </c>
    </row>
    <row r="72" spans="1:3" ht="15" customHeight="1" x14ac:dyDescent="0.25">
      <c r="A72" s="14" t="s">
        <v>64</v>
      </c>
      <c r="B72" s="14">
        <f t="shared" si="1"/>
        <v>1</v>
      </c>
      <c r="C72" s="14">
        <f t="shared" si="2"/>
        <v>3</v>
      </c>
    </row>
    <row r="73" spans="1:3" ht="15" customHeight="1" x14ac:dyDescent="0.25">
      <c r="A73" s="14" t="s">
        <v>66</v>
      </c>
      <c r="B73" s="14">
        <f t="shared" si="1"/>
        <v>3</v>
      </c>
      <c r="C73" s="14">
        <f t="shared" si="2"/>
        <v>0</v>
      </c>
    </row>
    <row r="74" spans="1:3" ht="15" customHeight="1" x14ac:dyDescent="0.25">
      <c r="A74" s="14" t="s">
        <v>68</v>
      </c>
      <c r="B74" s="14">
        <f t="shared" si="1"/>
        <v>1</v>
      </c>
      <c r="C74" s="14">
        <f t="shared" si="2"/>
        <v>1</v>
      </c>
    </row>
    <row r="75" spans="1:3" ht="15" customHeight="1" x14ac:dyDescent="0.25">
      <c r="A75" s="14" t="s">
        <v>70</v>
      </c>
      <c r="B75" s="14">
        <f t="shared" si="1"/>
        <v>4</v>
      </c>
      <c r="C75" s="14">
        <f t="shared" si="2"/>
        <v>0</v>
      </c>
    </row>
    <row r="76" spans="1:3" ht="15" customHeight="1" x14ac:dyDescent="0.25">
      <c r="A76" s="14" t="s">
        <v>72</v>
      </c>
      <c r="B76" s="14">
        <f t="shared" si="1"/>
        <v>2</v>
      </c>
      <c r="C76" s="14">
        <f t="shared" si="2"/>
        <v>2</v>
      </c>
    </row>
    <row r="77" spans="1:3" ht="15" customHeight="1" x14ac:dyDescent="0.25">
      <c r="A77" s="14" t="s">
        <v>74</v>
      </c>
      <c r="B77" s="14">
        <f t="shared" si="1"/>
        <v>2</v>
      </c>
      <c r="C77" s="14">
        <f t="shared" si="2"/>
        <v>4</v>
      </c>
    </row>
    <row r="78" spans="1:3" ht="15" customHeight="1" x14ac:dyDescent="0.25">
      <c r="A78" s="14" t="s">
        <v>76</v>
      </c>
      <c r="B78" s="14">
        <f t="shared" si="1"/>
        <v>4</v>
      </c>
      <c r="C78" s="14">
        <f t="shared" si="2"/>
        <v>0</v>
      </c>
    </row>
    <row r="79" spans="1:3" ht="15" customHeight="1" x14ac:dyDescent="0.25">
      <c r="A79" s="14" t="s">
        <v>78</v>
      </c>
      <c r="B79" s="14">
        <f t="shared" si="1"/>
        <v>1</v>
      </c>
      <c r="C79" s="14">
        <f t="shared" si="2"/>
        <v>1</v>
      </c>
    </row>
    <row r="80" spans="1:3" ht="15" customHeight="1" x14ac:dyDescent="0.25">
      <c r="A80" s="14" t="s">
        <v>80</v>
      </c>
      <c r="B80" s="14">
        <f t="shared" si="1"/>
        <v>3</v>
      </c>
      <c r="C80" s="14">
        <f t="shared" si="2"/>
        <v>0</v>
      </c>
    </row>
    <row r="81" spans="1:3" ht="15" customHeight="1" x14ac:dyDescent="0.25">
      <c r="A81" s="14" t="s">
        <v>82</v>
      </c>
      <c r="B81" s="14">
        <f t="shared" si="1"/>
        <v>3</v>
      </c>
      <c r="C81" s="14">
        <f t="shared" si="2"/>
        <v>0</v>
      </c>
    </row>
    <row r="82" spans="1:3" ht="15" customHeight="1" x14ac:dyDescent="0.25">
      <c r="A82" s="14" t="s">
        <v>84</v>
      </c>
      <c r="B82" s="14">
        <f t="shared" si="1"/>
        <v>4</v>
      </c>
      <c r="C82" s="14">
        <f t="shared" si="2"/>
        <v>0</v>
      </c>
    </row>
    <row r="83" spans="1:3" ht="15" customHeight="1" x14ac:dyDescent="0.25">
      <c r="A83" s="14" t="s">
        <v>86</v>
      </c>
      <c r="B83" s="14">
        <f t="shared" si="1"/>
        <v>2</v>
      </c>
      <c r="C83" s="14">
        <f t="shared" si="2"/>
        <v>1</v>
      </c>
    </row>
    <row r="84" spans="1:3" ht="15" customHeight="1" x14ac:dyDescent="0.25">
      <c r="A84" s="14" t="s">
        <v>88</v>
      </c>
      <c r="B84" s="14">
        <f t="shared" si="1"/>
        <v>4</v>
      </c>
      <c r="C84" s="14">
        <f t="shared" si="2"/>
        <v>0</v>
      </c>
    </row>
    <row r="85" spans="1:3" ht="15" customHeight="1" x14ac:dyDescent="0.25">
      <c r="A85" s="14" t="s">
        <v>90</v>
      </c>
      <c r="B85" s="14">
        <f t="shared" si="1"/>
        <v>2</v>
      </c>
      <c r="C85" s="14">
        <f t="shared" si="2"/>
        <v>0</v>
      </c>
    </row>
    <row r="86" spans="1:3" ht="15" customHeight="1" x14ac:dyDescent="0.25">
      <c r="A86" s="14" t="s">
        <v>92</v>
      </c>
      <c r="B86" s="14">
        <f t="shared" si="1"/>
        <v>3</v>
      </c>
      <c r="C86" s="14">
        <f t="shared" si="2"/>
        <v>0</v>
      </c>
    </row>
    <row r="87" spans="1:3" ht="15" customHeight="1" x14ac:dyDescent="0.25">
      <c r="A87" s="14" t="s">
        <v>94</v>
      </c>
      <c r="B87" s="14">
        <f t="shared" si="1"/>
        <v>2</v>
      </c>
      <c r="C87" s="14">
        <f t="shared" si="2"/>
        <v>1</v>
      </c>
    </row>
    <row r="88" spans="1:3" ht="15" customHeight="1" x14ac:dyDescent="0.25">
      <c r="A88" s="14" t="s">
        <v>96</v>
      </c>
      <c r="B88" s="14">
        <f t="shared" si="1"/>
        <v>3</v>
      </c>
      <c r="C88" s="14">
        <f t="shared" si="2"/>
        <v>0</v>
      </c>
    </row>
    <row r="89" spans="1:3" ht="15" customHeight="1" x14ac:dyDescent="0.25">
      <c r="A89" s="14" t="s">
        <v>98</v>
      </c>
      <c r="B89" s="14">
        <f t="shared" si="1"/>
        <v>3</v>
      </c>
      <c r="C89" s="14">
        <f t="shared" si="2"/>
        <v>0</v>
      </c>
    </row>
  </sheetData>
  <mergeCells count="2">
    <mergeCell ref="A1:G1"/>
    <mergeCell ref="A45:B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CD39-9CB5-4DA7-BDFE-C34460EB5158}">
  <dimension ref="C3:I52"/>
  <sheetViews>
    <sheetView tabSelected="1" zoomScale="85" zoomScaleNormal="85" workbookViewId="0">
      <selection activeCell="E58" sqref="E58"/>
    </sheetView>
  </sheetViews>
  <sheetFormatPr defaultRowHeight="15" x14ac:dyDescent="0.25"/>
  <cols>
    <col min="1" max="2" width="9.140625" style="27"/>
    <col min="3" max="9" width="23.42578125" style="28" customWidth="1"/>
    <col min="10" max="16384" width="9.140625" style="27"/>
  </cols>
  <sheetData>
    <row r="3" spans="3:9" ht="15.75" customHeight="1" thickBot="1" x14ac:dyDescent="0.3"/>
    <row r="4" spans="3:9" ht="16.5" customHeight="1" thickBot="1" x14ac:dyDescent="0.3">
      <c r="C4" s="35" t="s">
        <v>13</v>
      </c>
      <c r="D4" s="33" t="s">
        <v>106</v>
      </c>
      <c r="E4" s="33" t="s">
        <v>15</v>
      </c>
      <c r="F4" s="33" t="s">
        <v>16</v>
      </c>
      <c r="G4" s="33" t="s">
        <v>17</v>
      </c>
      <c r="H4" s="34" t="s">
        <v>5</v>
      </c>
      <c r="I4" s="33" t="s">
        <v>1</v>
      </c>
    </row>
    <row r="5" spans="3:9" ht="32.25" customHeight="1" thickBot="1" x14ac:dyDescent="0.3">
      <c r="C5" s="31" t="s">
        <v>18</v>
      </c>
      <c r="D5" s="29" t="s">
        <v>19</v>
      </c>
      <c r="E5" s="29">
        <v>4</v>
      </c>
      <c r="F5" s="29">
        <v>4</v>
      </c>
      <c r="G5" s="29">
        <v>0</v>
      </c>
      <c r="H5" s="32">
        <v>1</v>
      </c>
      <c r="I5" s="29">
        <v>4</v>
      </c>
    </row>
    <row r="6" spans="3:9" ht="16.5" customHeight="1" thickBot="1" x14ac:dyDescent="0.3">
      <c r="C6" s="31" t="s">
        <v>20</v>
      </c>
      <c r="D6" s="29" t="s">
        <v>21</v>
      </c>
      <c r="E6" s="29">
        <v>4</v>
      </c>
      <c r="F6" s="29">
        <v>4</v>
      </c>
      <c r="G6" s="29">
        <v>0</v>
      </c>
      <c r="H6" s="32">
        <v>1</v>
      </c>
      <c r="I6" s="29">
        <v>4</v>
      </c>
    </row>
    <row r="7" spans="3:9" ht="32.25" customHeight="1" thickBot="1" x14ac:dyDescent="0.3">
      <c r="C7" s="31" t="s">
        <v>22</v>
      </c>
      <c r="D7" s="29" t="s">
        <v>23</v>
      </c>
      <c r="E7" s="29">
        <v>4</v>
      </c>
      <c r="F7" s="29">
        <v>4</v>
      </c>
      <c r="G7" s="29">
        <v>0</v>
      </c>
      <c r="H7" s="32">
        <v>1</v>
      </c>
      <c r="I7" s="29">
        <v>4</v>
      </c>
    </row>
    <row r="8" spans="3:9" ht="32.25" customHeight="1" thickBot="1" x14ac:dyDescent="0.3">
      <c r="C8" s="31" t="s">
        <v>24</v>
      </c>
      <c r="D8" s="29" t="s">
        <v>25</v>
      </c>
      <c r="E8" s="29">
        <v>5</v>
      </c>
      <c r="F8" s="29">
        <v>5</v>
      </c>
      <c r="G8" s="29">
        <v>0</v>
      </c>
      <c r="H8" s="32">
        <v>1</v>
      </c>
      <c r="I8" s="29">
        <v>4</v>
      </c>
    </row>
    <row r="9" spans="3:9" ht="32.25" customHeight="1" thickBot="1" x14ac:dyDescent="0.3">
      <c r="C9" s="31" t="s">
        <v>26</v>
      </c>
      <c r="D9" s="29" t="s">
        <v>27</v>
      </c>
      <c r="E9" s="29">
        <v>4</v>
      </c>
      <c r="F9" s="29">
        <v>4</v>
      </c>
      <c r="G9" s="29">
        <v>0</v>
      </c>
      <c r="H9" s="32">
        <v>1</v>
      </c>
      <c r="I9" s="29">
        <v>4</v>
      </c>
    </row>
    <row r="10" spans="3:9" ht="32.25" customHeight="1" thickBot="1" x14ac:dyDescent="0.3">
      <c r="C10" s="31" t="s">
        <v>28</v>
      </c>
      <c r="D10" s="29" t="s">
        <v>29</v>
      </c>
      <c r="E10" s="29">
        <v>4</v>
      </c>
      <c r="F10" s="29">
        <v>4</v>
      </c>
      <c r="G10" s="29">
        <v>0</v>
      </c>
      <c r="H10" s="32">
        <v>1</v>
      </c>
      <c r="I10" s="29">
        <v>4</v>
      </c>
    </row>
    <row r="11" spans="3:9" ht="32.25" customHeight="1" thickBot="1" x14ac:dyDescent="0.3">
      <c r="C11" s="31" t="s">
        <v>30</v>
      </c>
      <c r="D11" s="29" t="s">
        <v>31</v>
      </c>
      <c r="E11" s="29">
        <v>4</v>
      </c>
      <c r="F11" s="29">
        <v>4</v>
      </c>
      <c r="G11" s="29">
        <v>0</v>
      </c>
      <c r="H11" s="32">
        <v>1</v>
      </c>
      <c r="I11" s="29">
        <v>4</v>
      </c>
    </row>
    <row r="12" spans="3:9" ht="32.25" customHeight="1" thickBot="1" x14ac:dyDescent="0.3">
      <c r="C12" s="31" t="s">
        <v>32</v>
      </c>
      <c r="D12" s="29" t="s">
        <v>33</v>
      </c>
      <c r="E12" s="29">
        <v>3</v>
      </c>
      <c r="F12" s="29">
        <v>3</v>
      </c>
      <c r="G12" s="29">
        <v>0</v>
      </c>
      <c r="H12" s="32">
        <v>1</v>
      </c>
      <c r="I12" s="29">
        <v>4</v>
      </c>
    </row>
    <row r="13" spans="3:9" ht="32.25" customHeight="1" thickBot="1" x14ac:dyDescent="0.3">
      <c r="C13" s="31" t="s">
        <v>34</v>
      </c>
      <c r="D13" s="29" t="s">
        <v>35</v>
      </c>
      <c r="E13" s="29">
        <v>3</v>
      </c>
      <c r="F13" s="29">
        <v>3</v>
      </c>
      <c r="G13" s="29">
        <v>0</v>
      </c>
      <c r="H13" s="32">
        <v>1</v>
      </c>
      <c r="I13" s="29">
        <v>4</v>
      </c>
    </row>
    <row r="14" spans="3:9" ht="48" customHeight="1" thickBot="1" x14ac:dyDescent="0.3">
      <c r="C14" s="31" t="s">
        <v>36</v>
      </c>
      <c r="D14" s="29" t="s">
        <v>37</v>
      </c>
      <c r="E14" s="29">
        <v>3</v>
      </c>
      <c r="F14" s="29">
        <v>3</v>
      </c>
      <c r="G14" s="29">
        <v>0</v>
      </c>
      <c r="H14" s="32">
        <v>1</v>
      </c>
      <c r="I14" s="29">
        <v>4</v>
      </c>
    </row>
    <row r="15" spans="3:9" ht="32.25" customHeight="1" thickBot="1" x14ac:dyDescent="0.3">
      <c r="C15" s="31" t="s">
        <v>38</v>
      </c>
      <c r="D15" s="29" t="s">
        <v>39</v>
      </c>
      <c r="E15" s="29">
        <v>3</v>
      </c>
      <c r="F15" s="29">
        <v>3</v>
      </c>
      <c r="G15" s="29"/>
      <c r="H15" s="32">
        <v>1</v>
      </c>
      <c r="I15" s="29">
        <v>4</v>
      </c>
    </row>
    <row r="16" spans="3:9" ht="32.25" customHeight="1" thickBot="1" x14ac:dyDescent="0.3">
      <c r="C16" s="31" t="s">
        <v>40</v>
      </c>
      <c r="D16" s="29" t="s">
        <v>41</v>
      </c>
      <c r="E16" s="29">
        <v>4</v>
      </c>
      <c r="F16" s="29">
        <v>4</v>
      </c>
      <c r="G16" s="29">
        <v>0</v>
      </c>
      <c r="H16" s="32">
        <v>1</v>
      </c>
      <c r="I16" s="29">
        <v>4</v>
      </c>
    </row>
    <row r="17" spans="3:9" ht="32.25" customHeight="1" thickBot="1" x14ac:dyDescent="0.3">
      <c r="C17" s="31" t="s">
        <v>42</v>
      </c>
      <c r="D17" s="29" t="s">
        <v>43</v>
      </c>
      <c r="E17" s="29">
        <v>2</v>
      </c>
      <c r="F17" s="29">
        <v>2</v>
      </c>
      <c r="G17" s="29">
        <v>0</v>
      </c>
      <c r="H17" s="32">
        <v>1</v>
      </c>
      <c r="I17" s="29">
        <v>4</v>
      </c>
    </row>
    <row r="18" spans="3:9" ht="32.25" customHeight="1" thickBot="1" x14ac:dyDescent="0.3">
      <c r="C18" s="31" t="s">
        <v>44</v>
      </c>
      <c r="D18" s="29" t="s">
        <v>45</v>
      </c>
      <c r="E18" s="29">
        <v>2</v>
      </c>
      <c r="F18" s="29">
        <v>2</v>
      </c>
      <c r="G18" s="29">
        <v>0</v>
      </c>
      <c r="H18" s="32">
        <v>1</v>
      </c>
      <c r="I18" s="29">
        <v>4</v>
      </c>
    </row>
    <row r="19" spans="3:9" ht="32.25" customHeight="1" thickBot="1" x14ac:dyDescent="0.3">
      <c r="C19" s="31" t="s">
        <v>46</v>
      </c>
      <c r="D19" s="29" t="s">
        <v>47</v>
      </c>
      <c r="E19" s="29">
        <v>3</v>
      </c>
      <c r="F19" s="29">
        <v>2</v>
      </c>
      <c r="G19" s="29">
        <v>1</v>
      </c>
      <c r="H19" s="30">
        <v>0.66600000000000004</v>
      </c>
      <c r="I19" s="29">
        <v>4</v>
      </c>
    </row>
    <row r="20" spans="3:9" ht="32.25" customHeight="1" thickBot="1" x14ac:dyDescent="0.3">
      <c r="C20" s="31" t="s">
        <v>48</v>
      </c>
      <c r="D20" s="29" t="s">
        <v>49</v>
      </c>
      <c r="E20" s="29">
        <v>4</v>
      </c>
      <c r="F20" s="29">
        <v>4</v>
      </c>
      <c r="G20" s="29">
        <v>0</v>
      </c>
      <c r="H20" s="32">
        <v>1</v>
      </c>
      <c r="I20" s="29">
        <v>4</v>
      </c>
    </row>
    <row r="21" spans="3:9" ht="32.25" customHeight="1" thickBot="1" x14ac:dyDescent="0.3">
      <c r="C21" s="31" t="s">
        <v>50</v>
      </c>
      <c r="D21" s="29" t="s">
        <v>51</v>
      </c>
      <c r="E21" s="29">
        <v>4</v>
      </c>
      <c r="F21" s="29">
        <v>4</v>
      </c>
      <c r="G21" s="29">
        <v>0</v>
      </c>
      <c r="H21" s="32">
        <v>1</v>
      </c>
      <c r="I21" s="29">
        <v>4</v>
      </c>
    </row>
    <row r="22" spans="3:9" ht="32.25" customHeight="1" thickBot="1" x14ac:dyDescent="0.3">
      <c r="C22" s="31" t="s">
        <v>52</v>
      </c>
      <c r="D22" s="29" t="s">
        <v>53</v>
      </c>
      <c r="E22" s="29">
        <v>3</v>
      </c>
      <c r="F22" s="29">
        <v>3</v>
      </c>
      <c r="G22" s="29">
        <v>0</v>
      </c>
      <c r="H22" s="32">
        <v>1</v>
      </c>
      <c r="I22" s="29">
        <v>4</v>
      </c>
    </row>
    <row r="23" spans="3:9" ht="32.25" customHeight="1" thickBot="1" x14ac:dyDescent="0.3">
      <c r="C23" s="31" t="s">
        <v>54</v>
      </c>
      <c r="D23" s="29" t="s">
        <v>55</v>
      </c>
      <c r="E23" s="29">
        <v>3</v>
      </c>
      <c r="F23" s="29">
        <v>3</v>
      </c>
      <c r="G23" s="29">
        <v>0</v>
      </c>
      <c r="H23" s="32">
        <v>1</v>
      </c>
      <c r="I23" s="29">
        <v>4</v>
      </c>
    </row>
    <row r="24" spans="3:9" ht="32.25" customHeight="1" thickBot="1" x14ac:dyDescent="0.3">
      <c r="C24" s="31" t="s">
        <v>56</v>
      </c>
      <c r="D24" s="29" t="s">
        <v>57</v>
      </c>
      <c r="E24" s="29">
        <v>3</v>
      </c>
      <c r="F24" s="29">
        <v>3</v>
      </c>
      <c r="G24" s="29">
        <v>0</v>
      </c>
      <c r="H24" s="32">
        <v>1</v>
      </c>
      <c r="I24" s="29">
        <v>4</v>
      </c>
    </row>
    <row r="25" spans="3:9" ht="32.25" customHeight="1" thickBot="1" x14ac:dyDescent="0.3">
      <c r="C25" s="31" t="s">
        <v>58</v>
      </c>
      <c r="D25" s="29" t="s">
        <v>59</v>
      </c>
      <c r="E25" s="29">
        <v>4</v>
      </c>
      <c r="F25" s="29">
        <v>4</v>
      </c>
      <c r="G25" s="29">
        <v>0</v>
      </c>
      <c r="H25" s="32">
        <v>1</v>
      </c>
      <c r="I25" s="29">
        <v>4</v>
      </c>
    </row>
    <row r="26" spans="3:9" ht="16.5" customHeight="1" thickBot="1" x14ac:dyDescent="0.3">
      <c r="C26" s="31" t="s">
        <v>60</v>
      </c>
      <c r="D26" s="29" t="s">
        <v>61</v>
      </c>
      <c r="E26" s="29">
        <v>3</v>
      </c>
      <c r="F26" s="29">
        <v>3</v>
      </c>
      <c r="G26" s="29">
        <v>0</v>
      </c>
      <c r="H26" s="32">
        <v>1</v>
      </c>
      <c r="I26" s="29">
        <v>4</v>
      </c>
    </row>
    <row r="27" spans="3:9" ht="32.25" customHeight="1" thickBot="1" x14ac:dyDescent="0.3">
      <c r="C27" s="31" t="s">
        <v>62</v>
      </c>
      <c r="D27" s="29" t="s">
        <v>63</v>
      </c>
      <c r="E27" s="29">
        <v>4</v>
      </c>
      <c r="F27" s="29">
        <v>4</v>
      </c>
      <c r="G27" s="29">
        <v>0</v>
      </c>
      <c r="H27" s="32">
        <v>1</v>
      </c>
      <c r="I27" s="29">
        <v>4</v>
      </c>
    </row>
    <row r="28" spans="3:9" ht="32.25" customHeight="1" thickBot="1" x14ac:dyDescent="0.3">
      <c r="C28" s="31" t="s">
        <v>64</v>
      </c>
      <c r="D28" s="29" t="s">
        <v>65</v>
      </c>
      <c r="E28" s="29">
        <v>4</v>
      </c>
      <c r="F28" s="29">
        <v>4</v>
      </c>
      <c r="G28" s="29">
        <v>0</v>
      </c>
      <c r="H28" s="32">
        <v>1</v>
      </c>
      <c r="I28" s="29">
        <v>4</v>
      </c>
    </row>
    <row r="29" spans="3:9" ht="32.25" customHeight="1" thickBot="1" x14ac:dyDescent="0.3">
      <c r="C29" s="31" t="s">
        <v>66</v>
      </c>
      <c r="D29" s="29" t="s">
        <v>67</v>
      </c>
      <c r="E29" s="29">
        <v>3</v>
      </c>
      <c r="F29" s="29">
        <v>3</v>
      </c>
      <c r="G29" s="29">
        <v>0</v>
      </c>
      <c r="H29" s="32">
        <v>1</v>
      </c>
      <c r="I29" s="29">
        <v>4</v>
      </c>
    </row>
    <row r="30" spans="3:9" ht="32.25" customHeight="1" thickBot="1" x14ac:dyDescent="0.3">
      <c r="C30" s="31" t="s">
        <v>68</v>
      </c>
      <c r="D30" s="29" t="s">
        <v>69</v>
      </c>
      <c r="E30" s="29">
        <v>2</v>
      </c>
      <c r="F30" s="29">
        <v>2</v>
      </c>
      <c r="G30" s="29">
        <v>0</v>
      </c>
      <c r="H30" s="32">
        <v>1</v>
      </c>
      <c r="I30" s="29">
        <v>4</v>
      </c>
    </row>
    <row r="31" spans="3:9" ht="32.25" customHeight="1" thickBot="1" x14ac:dyDescent="0.3">
      <c r="C31" s="31" t="s">
        <v>70</v>
      </c>
      <c r="D31" s="29" t="s">
        <v>71</v>
      </c>
      <c r="E31" s="29">
        <v>4</v>
      </c>
      <c r="F31" s="29">
        <v>4</v>
      </c>
      <c r="G31" s="29">
        <v>0</v>
      </c>
      <c r="H31" s="32">
        <v>1</v>
      </c>
      <c r="I31" s="29">
        <v>4</v>
      </c>
    </row>
    <row r="32" spans="3:9" ht="16.5" customHeight="1" thickBot="1" x14ac:dyDescent="0.3">
      <c r="C32" s="31" t="s">
        <v>72</v>
      </c>
      <c r="D32" s="29" t="s">
        <v>73</v>
      </c>
      <c r="E32" s="29">
        <v>4</v>
      </c>
      <c r="F32" s="29">
        <v>4</v>
      </c>
      <c r="G32" s="29">
        <v>0</v>
      </c>
      <c r="H32" s="32">
        <v>1</v>
      </c>
      <c r="I32" s="29">
        <v>4</v>
      </c>
    </row>
    <row r="33" spans="3:9" ht="48" customHeight="1" thickBot="1" x14ac:dyDescent="0.3">
      <c r="C33" s="31" t="s">
        <v>74</v>
      </c>
      <c r="D33" s="29" t="s">
        <v>75</v>
      </c>
      <c r="E33" s="29">
        <v>6</v>
      </c>
      <c r="F33" s="29">
        <v>6</v>
      </c>
      <c r="G33" s="29">
        <v>0</v>
      </c>
      <c r="H33" s="32">
        <v>1</v>
      </c>
      <c r="I33" s="29">
        <v>4</v>
      </c>
    </row>
    <row r="34" spans="3:9" ht="32.25" customHeight="1" thickBot="1" x14ac:dyDescent="0.3">
      <c r="C34" s="31" t="s">
        <v>76</v>
      </c>
      <c r="D34" s="29" t="s">
        <v>77</v>
      </c>
      <c r="E34" s="29">
        <v>4</v>
      </c>
      <c r="F34" s="29">
        <v>4</v>
      </c>
      <c r="G34" s="29">
        <v>0</v>
      </c>
      <c r="H34" s="32">
        <v>1</v>
      </c>
      <c r="I34" s="29">
        <v>4</v>
      </c>
    </row>
    <row r="35" spans="3:9" ht="32.25" customHeight="1" thickBot="1" x14ac:dyDescent="0.3">
      <c r="C35" s="31" t="s">
        <v>78</v>
      </c>
      <c r="D35" s="29" t="s">
        <v>79</v>
      </c>
      <c r="E35" s="29">
        <v>2</v>
      </c>
      <c r="F35" s="29">
        <v>2</v>
      </c>
      <c r="G35" s="29">
        <v>0</v>
      </c>
      <c r="H35" s="32">
        <v>1</v>
      </c>
      <c r="I35" s="29">
        <v>4</v>
      </c>
    </row>
    <row r="36" spans="3:9" ht="16.5" customHeight="1" thickBot="1" x14ac:dyDescent="0.3">
      <c r="C36" s="31" t="s">
        <v>80</v>
      </c>
      <c r="D36" s="29" t="s">
        <v>81</v>
      </c>
      <c r="E36" s="29">
        <v>3</v>
      </c>
      <c r="F36" s="29">
        <v>3</v>
      </c>
      <c r="G36" s="29">
        <v>0</v>
      </c>
      <c r="H36" s="32">
        <v>1</v>
      </c>
      <c r="I36" s="29">
        <v>4</v>
      </c>
    </row>
    <row r="37" spans="3:9" ht="32.25" customHeight="1" thickBot="1" x14ac:dyDescent="0.3">
      <c r="C37" s="31" t="s">
        <v>82</v>
      </c>
      <c r="D37" s="29" t="s">
        <v>83</v>
      </c>
      <c r="E37" s="29">
        <v>3</v>
      </c>
      <c r="F37" s="29">
        <v>3</v>
      </c>
      <c r="G37" s="29">
        <v>0</v>
      </c>
      <c r="H37" s="32">
        <v>1</v>
      </c>
      <c r="I37" s="29">
        <v>4</v>
      </c>
    </row>
    <row r="38" spans="3:9" ht="16.5" customHeight="1" thickBot="1" x14ac:dyDescent="0.3">
      <c r="C38" s="31" t="s">
        <v>84</v>
      </c>
      <c r="D38" s="29" t="s">
        <v>85</v>
      </c>
      <c r="E38" s="29">
        <v>4</v>
      </c>
      <c r="F38" s="29">
        <v>4</v>
      </c>
      <c r="G38" s="29">
        <v>0</v>
      </c>
      <c r="H38" s="32">
        <v>1</v>
      </c>
      <c r="I38" s="29">
        <v>4</v>
      </c>
    </row>
    <row r="39" spans="3:9" ht="16.5" customHeight="1" thickBot="1" x14ac:dyDescent="0.3">
      <c r="C39" s="31" t="s">
        <v>86</v>
      </c>
      <c r="D39" s="29" t="s">
        <v>87</v>
      </c>
      <c r="E39" s="29">
        <v>3</v>
      </c>
      <c r="F39" s="29">
        <v>3</v>
      </c>
      <c r="G39" s="29">
        <v>0</v>
      </c>
      <c r="H39" s="32">
        <v>1</v>
      </c>
      <c r="I39" s="29">
        <v>4</v>
      </c>
    </row>
    <row r="40" spans="3:9" ht="48" customHeight="1" thickBot="1" x14ac:dyDescent="0.3">
      <c r="C40" s="31" t="s">
        <v>88</v>
      </c>
      <c r="D40" s="29" t="s">
        <v>89</v>
      </c>
      <c r="E40" s="29">
        <v>4</v>
      </c>
      <c r="F40" s="29">
        <v>4</v>
      </c>
      <c r="G40" s="29">
        <v>0</v>
      </c>
      <c r="H40" s="32">
        <v>1</v>
      </c>
      <c r="I40" s="29">
        <v>4</v>
      </c>
    </row>
    <row r="41" spans="3:9" ht="32.25" customHeight="1" thickBot="1" x14ac:dyDescent="0.3">
      <c r="C41" s="31" t="s">
        <v>90</v>
      </c>
      <c r="D41" s="29" t="s">
        <v>91</v>
      </c>
      <c r="E41" s="29">
        <v>2</v>
      </c>
      <c r="F41" s="29">
        <v>2</v>
      </c>
      <c r="G41" s="29">
        <v>0</v>
      </c>
      <c r="H41" s="32">
        <v>1</v>
      </c>
      <c r="I41" s="29">
        <v>4</v>
      </c>
    </row>
    <row r="42" spans="3:9" ht="32.25" customHeight="1" thickBot="1" x14ac:dyDescent="0.3">
      <c r="C42" s="31" t="s">
        <v>92</v>
      </c>
      <c r="D42" s="29" t="s">
        <v>93</v>
      </c>
      <c r="E42" s="29">
        <v>3</v>
      </c>
      <c r="F42" s="29">
        <v>3</v>
      </c>
      <c r="G42" s="29">
        <v>0</v>
      </c>
      <c r="H42" s="32">
        <v>1</v>
      </c>
      <c r="I42" s="29">
        <v>4</v>
      </c>
    </row>
    <row r="43" spans="3:9" ht="32.25" customHeight="1" thickBot="1" x14ac:dyDescent="0.3">
      <c r="C43" s="31" t="s">
        <v>94</v>
      </c>
      <c r="D43" s="29" t="s">
        <v>95</v>
      </c>
      <c r="E43" s="29">
        <v>3</v>
      </c>
      <c r="F43" s="29">
        <v>3</v>
      </c>
      <c r="G43" s="29">
        <v>0</v>
      </c>
      <c r="H43" s="32">
        <v>1</v>
      </c>
      <c r="I43" s="29">
        <v>4</v>
      </c>
    </row>
    <row r="44" spans="3:9" ht="32.25" customHeight="1" thickBot="1" x14ac:dyDescent="0.3">
      <c r="C44" s="31" t="s">
        <v>96</v>
      </c>
      <c r="D44" s="29" t="s">
        <v>97</v>
      </c>
      <c r="E44" s="29">
        <v>3</v>
      </c>
      <c r="F44" s="29">
        <v>3</v>
      </c>
      <c r="G44" s="29">
        <v>0</v>
      </c>
      <c r="H44" s="32">
        <v>1</v>
      </c>
      <c r="I44" s="29">
        <v>4</v>
      </c>
    </row>
    <row r="45" spans="3:9" ht="32.25" customHeight="1" thickBot="1" x14ac:dyDescent="0.3">
      <c r="C45" s="31" t="s">
        <v>98</v>
      </c>
      <c r="D45" s="29" t="s">
        <v>99</v>
      </c>
      <c r="E45" s="29">
        <v>3</v>
      </c>
      <c r="F45" s="29">
        <v>2</v>
      </c>
      <c r="G45" s="29">
        <v>1</v>
      </c>
      <c r="H45" s="30">
        <v>0.66600000000000004</v>
      </c>
      <c r="I45" s="29">
        <v>4</v>
      </c>
    </row>
    <row r="48" spans="3:9" x14ac:dyDescent="0.25">
      <c r="C48" s="27" t="s">
        <v>1</v>
      </c>
      <c r="D48" s="27" t="s">
        <v>10</v>
      </c>
      <c r="E48" s="27" t="s">
        <v>11</v>
      </c>
    </row>
    <row r="49" spans="3:5" x14ac:dyDescent="0.25">
      <c r="C49" s="27" t="s">
        <v>7</v>
      </c>
      <c r="D49" s="27">
        <v>96</v>
      </c>
      <c r="E49" s="27">
        <v>44</v>
      </c>
    </row>
    <row r="50" spans="3:5" x14ac:dyDescent="0.25">
      <c r="C50" s="27" t="s">
        <v>8</v>
      </c>
      <c r="D50" s="27">
        <v>103</v>
      </c>
      <c r="E50" s="27">
        <v>37</v>
      </c>
    </row>
    <row r="51" spans="3:5" x14ac:dyDescent="0.25">
      <c r="C51" s="27" t="s">
        <v>9</v>
      </c>
      <c r="D51" s="27">
        <v>113</v>
      </c>
      <c r="E51" s="27">
        <v>27</v>
      </c>
    </row>
    <row r="52" spans="3:5" x14ac:dyDescent="0.25">
      <c r="C52" s="27" t="s">
        <v>105</v>
      </c>
      <c r="D52" s="27">
        <v>138</v>
      </c>
      <c r="E52" s="27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General</vt:lpstr>
      <vt:lpstr>Iteración 1</vt:lpstr>
      <vt:lpstr>Iteración 2</vt:lpstr>
      <vt:lpstr>Iteración 3</vt:lpstr>
      <vt:lpstr>Iteración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Omar Olmos</cp:lastModifiedBy>
  <cp:revision>2</cp:revision>
  <dcterms:created xsi:type="dcterms:W3CDTF">2026-06-15T00:03:57Z</dcterms:created>
  <dcterms:modified xsi:type="dcterms:W3CDTF">2026-08-23T23:57:15Z</dcterms:modified>
  <dc:language>en-US</dc:language>
</cp:coreProperties>
</file>