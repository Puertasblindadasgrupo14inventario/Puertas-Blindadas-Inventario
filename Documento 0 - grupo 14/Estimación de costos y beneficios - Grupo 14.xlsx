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HH" sheetId="1" r:id="rId4"/>
    <sheet state="visible" name="Licencias" sheetId="2" r:id="rId5"/>
    <sheet state="visible" name="Rendimiento" sheetId="3" r:id="rId6"/>
  </sheets>
  <definedNames/>
  <calcPr/>
  <extLst>
    <ext uri="GoogleSheetsCustomDataVersion2">
      <go:sheetsCustomData xmlns:go="http://customooxmlschemas.google.com/" r:id="rId7" roundtripDataChecksum="AtA5HxGkI04gNS7XfvTHmi5Khujz0sN2kWXCg9BZccM="/>
    </ext>
  </extLst>
</workbook>
</file>

<file path=xl/sharedStrings.xml><?xml version="1.0" encoding="utf-8"?>
<sst xmlns="http://schemas.openxmlformats.org/spreadsheetml/2006/main" count="94" uniqueCount="83">
  <si>
    <t>Rol</t>
  </si>
  <si>
    <t>Cantidad</t>
  </si>
  <si>
    <t>Sueldo Mensual</t>
  </si>
  <si>
    <t>Costo Mensual</t>
  </si>
  <si>
    <t>Jefe Proyecto</t>
  </si>
  <si>
    <t>Arquitecto</t>
  </si>
  <si>
    <t>Desarrollador</t>
  </si>
  <si>
    <t>QA</t>
  </si>
  <si>
    <t>Promotor-DevOps</t>
  </si>
  <si>
    <t>DB</t>
  </si>
  <si>
    <t>Total mensual</t>
  </si>
  <si>
    <t>Total anual</t>
  </si>
  <si>
    <t>Total con indirectos (30%)</t>
  </si>
  <si>
    <t>CAJA</t>
  </si>
  <si>
    <t>En Chile, contratar a alguien no solo cuesta su sueldo. El empleador debe pagar montos adicionales por ley que suman aproximadamente ese 30% -Total con indirectos</t>
  </si>
  <si>
    <t>en base a total mensual mas los costes mencionados</t>
  </si>
  <si>
    <t>seguros</t>
  </si>
  <si>
    <t>mantenimiento</t>
  </si>
  <si>
    <t>intereses</t>
  </si>
  <si>
    <t>Almacenamiento</t>
  </si>
  <si>
    <t>CAJA - "Se ha determinado un Capital de Trabajo equivalente a tres meses (un trimestre) de operación estimada. Este factor de seguridad permite mitigar el riesgo de flujo de caja durante la fase de desarrollo e implementación, asegurando el cumplimiento de compromisos laborales y operativos (seguros, mantención y bodegaje) independientemente de la estacionalidad de los ingresos iniciales."</t>
  </si>
  <si>
    <t>Concepto</t>
  </si>
  <si>
    <t>Costo Anual</t>
  </si>
  <si>
    <t>Cloud AWS</t>
  </si>
  <si>
    <t>vCPUS</t>
  </si>
  <si>
    <t>GIB RAM</t>
  </si>
  <si>
    <t>direccion publica ipv4 en uso</t>
  </si>
  <si>
    <t>nombre instancia</t>
  </si>
  <si>
    <t>rendimiento de red</t>
  </si>
  <si>
    <t>IDEs Desarrollo VScode</t>
  </si>
  <si>
    <t xml:space="preserve">2 instancias </t>
  </si>
  <si>
    <t>200gb</t>
  </si>
  <si>
    <t>c5.2xlarge</t>
  </si>
  <si>
    <t>hasta 10gb</t>
  </si>
  <si>
    <t>IDEs  PostgreSQL</t>
  </si>
  <si>
    <t>IDEs Python</t>
  </si>
  <si>
    <t>Cloud</t>
  </si>
  <si>
    <t>Testing (AWS)</t>
  </si>
  <si>
    <t>Testing</t>
  </si>
  <si>
    <t>1 instancia</t>
  </si>
  <si>
    <t>t3.medium</t>
  </si>
  <si>
    <t>hasta 5gb</t>
  </si>
  <si>
    <t>Total Licencias</t>
  </si>
  <si>
    <t>entrada</t>
  </si>
  <si>
    <t>dentro de la misma region</t>
  </si>
  <si>
    <t>salida</t>
  </si>
  <si>
    <t>50gb/mes</t>
  </si>
  <si>
    <t>100gb/mes</t>
  </si>
  <si>
    <t>200gb/mes</t>
  </si>
  <si>
    <t>730 horas/mes (uso constante)</t>
  </si>
  <si>
    <t>valor de una sola licensia para una maquina o instancia</t>
  </si>
  <si>
    <t>total con 2 licencias</t>
  </si>
  <si>
    <t>USD</t>
  </si>
  <si>
    <t>VPN Proton Essentials</t>
  </si>
  <si>
    <t>1677.6  USD</t>
  </si>
  <si>
    <t>Amazon SES (API correo)</t>
  </si>
  <si>
    <t>8,4 USD</t>
  </si>
  <si>
    <t> Red Hat Enterprise Linux (RHEL)</t>
  </si>
  <si>
    <t>2,855.60 USD</t>
  </si>
  <si>
    <t>1,663.26 USD</t>
  </si>
  <si>
    <t xml:space="preserve"> 9,229.32 USD</t>
  </si>
  <si>
    <t>mongoDB mensual 20USD</t>
  </si>
  <si>
    <t>mil correos y 5gb para los datos adjuntados</t>
  </si>
  <si>
    <t>VPN proton</t>
  </si>
  <si>
    <t>Licencia Red hat</t>
  </si>
  <si>
    <t>CLOUD SOLA 19-04-2026</t>
  </si>
  <si>
    <t>testing solo 19-04-2026</t>
  </si>
  <si>
    <t>total cloud</t>
  </si>
  <si>
    <t>total testing</t>
  </si>
  <si>
    <t>precio cloud convertido en base a precio de dolar dia 11/04/2026</t>
  </si>
  <si>
    <t>VPN Proton (1677.6 Dolares) en pesos 1497834,09</t>
  </si>
  <si>
    <t>1,663.26 USD 18/04/2026</t>
  </si>
  <si>
    <t>1458163,41 convertido en pesos chilenos el 18/04/2026</t>
  </si>
  <si>
    <t>Costos mensuales convertido de costo anual</t>
  </si>
  <si>
    <t>Monto CLP</t>
  </si>
  <si>
    <t>Costo RRHH Total</t>
  </si>
  <si>
    <t>Costo Licencias</t>
  </si>
  <si>
    <t>Costo Total Proyecto</t>
  </si>
  <si>
    <t>Beneficio mensual</t>
  </si>
  <si>
    <t>Aquí puede ser ahorro HH dado la implementación del sistema</t>
  </si>
  <si>
    <t>Beneficio anual</t>
  </si>
  <si>
    <t>Ganancia</t>
  </si>
  <si>
    <t>Rendimiento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</si>
</sst>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color theme="1"/>
      <name val="Arial"/>
    </font>
    <font>
      <color rgb="FFFFFFFF"/>
      <name val="Calibri"/>
    </font>
    <font>
      <color rgb="FF000000"/>
      <name val="Calibri"/>
    </font>
    <font>
      <sz val="12.0"/>
      <color rgb="FF000000"/>
      <name val="Google Sans"/>
    </font>
    <font>
      <sz val="21.0"/>
      <color rgb="FF16191F"/>
      <name val="&quot;Amazon Ember&quot;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3" fontId="2" numFmtId="0" xfId="0" applyFill="1" applyFont="1"/>
    <xf borderId="1" fillId="0" fontId="3" numFmtId="0" xfId="0" applyBorder="1" applyFont="1"/>
    <xf borderId="1" fillId="0" fontId="3" numFmtId="3" xfId="0" applyBorder="1" applyFont="1" applyNumberFormat="1"/>
    <xf borderId="1" fillId="4" fontId="3" numFmtId="0" xfId="0" applyBorder="1" applyFill="1" applyFont="1"/>
    <xf borderId="1" fillId="4" fontId="3" numFmtId="3" xfId="0" applyBorder="1" applyFont="1" applyNumberFormat="1"/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horizontal="right" vertical="bottom"/>
    </xf>
    <xf borderId="0" fillId="5" fontId="5" numFmtId="0" xfId="0" applyFill="1" applyFont="1"/>
    <xf borderId="0" fillId="0" fontId="6" numFmtId="0" xfId="0" applyFont="1"/>
    <xf borderId="1" fillId="6" fontId="3" numFmtId="0" xfId="0" applyBorder="1" applyFill="1" applyFont="1"/>
    <xf borderId="1" fillId="6" fontId="3" numFmtId="3" xfId="0" applyBorder="1" applyFont="1" applyNumberFormat="1"/>
    <xf borderId="0" fillId="0" fontId="2" numFmtId="3" xfId="0" applyFont="1" applyNumberFormat="1"/>
    <xf borderId="0" fillId="3" fontId="7" numFmtId="0" xfId="0" applyFont="1"/>
    <xf borderId="0" fillId="7" fontId="5" numFmtId="0" xfId="0" applyFill="1" applyFont="1"/>
    <xf borderId="0" fillId="3" fontId="8" numFmtId="0" xfId="0" applyFont="1"/>
    <xf borderId="0" fillId="3" fontId="5" numFmtId="0" xfId="0" applyFont="1"/>
    <xf borderId="1" fillId="3" fontId="3" numFmtId="3" xfId="0" applyBorder="1" applyFont="1" applyNumberFormat="1"/>
    <xf borderId="0" fillId="3" fontId="6" numFmtId="0" xfId="0" applyFont="1"/>
    <xf borderId="1" fillId="8" fontId="3" numFmtId="0" xfId="0" applyBorder="1" applyFill="1" applyFont="1"/>
    <xf borderId="1" fillId="8" fontId="3" numFmtId="3" xfId="0" applyBorder="1" applyFont="1" applyNumberFormat="1"/>
    <xf borderId="1" fillId="9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.71"/>
    <col customWidth="1" min="3" max="3" width="17.57"/>
    <col customWidth="1" min="4" max="4" width="17.14"/>
    <col customWidth="1" min="5" max="7" width="8.71"/>
    <col customWidth="1" min="8" max="8" width="18.29"/>
    <col customWidth="1" min="9" max="15" width="8.71"/>
    <col customWidth="1" min="16" max="16" width="16.71"/>
    <col customWidth="1" min="17" max="17" width="19.57"/>
    <col customWidth="1" min="18" max="2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25" customHeight="1">
      <c r="A2" s="3" t="s">
        <v>4</v>
      </c>
      <c r="B2" s="3">
        <v>1.0</v>
      </c>
      <c r="C2" s="4">
        <v>1000000.0</v>
      </c>
      <c r="D2" s="4">
        <f t="shared" ref="D2:D7" si="1">B2*C2</f>
        <v>1000000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>
      <c r="A3" s="3" t="s">
        <v>5</v>
      </c>
      <c r="B3" s="3">
        <v>1.0</v>
      </c>
      <c r="C3" s="4">
        <v>700000.0</v>
      </c>
      <c r="D3" s="4">
        <f t="shared" si="1"/>
        <v>700000</v>
      </c>
      <c r="F3" s="2"/>
      <c r="G3" s="2"/>
      <c r="H3" s="2"/>
      <c r="I3" s="2"/>
      <c r="J3" s="2"/>
      <c r="K3" s="2"/>
      <c r="L3" s="2"/>
      <c r="M3" s="2"/>
    </row>
    <row r="4" ht="14.25" customHeight="1">
      <c r="A4" s="3" t="s">
        <v>6</v>
      </c>
      <c r="B4" s="3">
        <v>1.0</v>
      </c>
      <c r="C4" s="4">
        <v>680000.0</v>
      </c>
      <c r="D4" s="4">
        <f t="shared" si="1"/>
        <v>680000</v>
      </c>
      <c r="F4" s="2"/>
      <c r="G4" s="2"/>
      <c r="H4" s="2"/>
      <c r="I4" s="2"/>
      <c r="J4" s="2"/>
      <c r="K4" s="2"/>
      <c r="L4" s="2"/>
      <c r="M4" s="2"/>
    </row>
    <row r="5" ht="14.25" customHeight="1">
      <c r="A5" s="3" t="s">
        <v>7</v>
      </c>
      <c r="B5" s="3">
        <v>1.0</v>
      </c>
      <c r="C5" s="4">
        <v>800000.0</v>
      </c>
      <c r="D5" s="4">
        <f t="shared" si="1"/>
        <v>800000</v>
      </c>
      <c r="F5" s="2"/>
      <c r="G5" s="2"/>
      <c r="H5" s="2"/>
      <c r="I5" s="2"/>
      <c r="J5" s="2"/>
      <c r="K5" s="2"/>
      <c r="L5" s="2"/>
      <c r="M5" s="2"/>
      <c r="N5" s="2"/>
    </row>
    <row r="6" ht="14.25" customHeight="1">
      <c r="A6" s="3" t="s">
        <v>8</v>
      </c>
      <c r="B6" s="3">
        <v>1.0</v>
      </c>
      <c r="C6" s="4">
        <v>1000000.0</v>
      </c>
      <c r="D6" s="4">
        <f t="shared" si="1"/>
        <v>1000000</v>
      </c>
      <c r="F6" s="2"/>
      <c r="G6" s="2"/>
      <c r="H6" s="2"/>
      <c r="I6" s="2"/>
      <c r="J6" s="2"/>
      <c r="K6" s="2"/>
      <c r="L6" s="2"/>
      <c r="M6" s="2"/>
      <c r="N6" s="2"/>
    </row>
    <row r="7" ht="14.25" customHeight="1">
      <c r="A7" s="3" t="s">
        <v>9</v>
      </c>
      <c r="B7" s="3">
        <v>1.0</v>
      </c>
      <c r="C7" s="4">
        <v>800000.0</v>
      </c>
      <c r="D7" s="4">
        <f t="shared" si="1"/>
        <v>800000</v>
      </c>
      <c r="F7" s="2"/>
      <c r="G7" s="2"/>
      <c r="H7" s="2"/>
      <c r="I7" s="2"/>
      <c r="J7" s="2"/>
      <c r="K7" s="2"/>
      <c r="L7" s="2"/>
      <c r="M7" s="2"/>
      <c r="N7" s="2"/>
    </row>
    <row r="8" ht="14.25" customHeight="1">
      <c r="F8" s="2"/>
      <c r="G8" s="2"/>
      <c r="H8" s="2"/>
      <c r="I8" s="2"/>
      <c r="J8" s="2"/>
      <c r="K8" s="2"/>
      <c r="L8" s="2"/>
    </row>
    <row r="9" ht="14.25" customHeight="1">
      <c r="F9" s="2"/>
      <c r="G9" s="2"/>
      <c r="H9" s="2"/>
      <c r="I9" s="2"/>
      <c r="J9" s="2"/>
      <c r="K9" s="2"/>
      <c r="L9" s="2"/>
    </row>
    <row r="10" ht="14.25" customHeight="1">
      <c r="C10" s="3" t="s">
        <v>10</v>
      </c>
      <c r="D10" s="4">
        <f>SUM(D2:D7)</f>
        <v>4980000</v>
      </c>
      <c r="F10" s="2"/>
      <c r="G10" s="2"/>
      <c r="H10" s="2"/>
      <c r="I10" s="2"/>
      <c r="J10" s="2"/>
      <c r="K10" s="2"/>
      <c r="L10" s="2"/>
    </row>
    <row r="11" ht="14.25" customHeight="1">
      <c r="C11" s="3" t="s">
        <v>11</v>
      </c>
      <c r="D11" s="4">
        <f>D10*12</f>
        <v>59760000</v>
      </c>
      <c r="F11" s="2"/>
      <c r="G11" s="2"/>
      <c r="H11" s="2"/>
      <c r="I11" s="2"/>
      <c r="J11" s="2"/>
      <c r="K11" s="2"/>
      <c r="L11" s="2"/>
    </row>
    <row r="12" ht="14.25" customHeight="1">
      <c r="C12" s="5" t="s">
        <v>12</v>
      </c>
      <c r="D12" s="6">
        <f>D11*1.3</f>
        <v>77688000</v>
      </c>
      <c r="F12" s="2"/>
      <c r="G12" s="2"/>
      <c r="H12" s="2"/>
      <c r="I12" s="2"/>
      <c r="J12" s="2"/>
    </row>
    <row r="13" ht="14.25" customHeight="1">
      <c r="C13" s="3" t="s">
        <v>13</v>
      </c>
      <c r="D13" s="4">
        <f>((D10+2850000)*3)</f>
        <v>23490000</v>
      </c>
      <c r="F13" s="2"/>
      <c r="G13" s="2"/>
      <c r="H13" s="2"/>
      <c r="I13" s="2"/>
      <c r="J13" s="2"/>
    </row>
    <row r="14" ht="14.25" customHeight="1">
      <c r="F14" s="2"/>
      <c r="G14" s="2"/>
      <c r="H14" s="2"/>
      <c r="I14" s="2"/>
      <c r="J14" s="2"/>
    </row>
    <row r="15" ht="14.25" customHeight="1">
      <c r="A15" s="7" t="s">
        <v>14</v>
      </c>
      <c r="F15" s="2"/>
      <c r="G15" s="2"/>
      <c r="H15" s="2"/>
      <c r="I15" s="2"/>
      <c r="J15" s="2"/>
    </row>
    <row r="16" ht="14.25" customHeight="1">
      <c r="F16" s="2"/>
      <c r="G16" s="2"/>
      <c r="H16" s="2"/>
      <c r="I16" s="2"/>
      <c r="J16" s="2"/>
      <c r="O16" s="2"/>
      <c r="P16" s="2"/>
      <c r="Q16" s="2"/>
    </row>
    <row r="17" ht="14.25" customHeight="1">
      <c r="C17" s="7" t="s">
        <v>15</v>
      </c>
      <c r="F17" s="2"/>
      <c r="G17" s="2"/>
      <c r="H17" s="2"/>
      <c r="I17" s="2"/>
      <c r="J17" s="2"/>
      <c r="O17" s="2"/>
      <c r="P17" s="2"/>
      <c r="Q17" s="2"/>
    </row>
    <row r="18" ht="14.25" customHeight="1">
      <c r="C18" s="8" t="s">
        <v>16</v>
      </c>
      <c r="D18" s="9">
        <v>1000000.0</v>
      </c>
      <c r="F18" s="2"/>
      <c r="G18" s="2"/>
      <c r="H18" s="2"/>
      <c r="I18" s="2"/>
      <c r="J18" s="2"/>
      <c r="O18" s="2"/>
      <c r="P18" s="2"/>
      <c r="Q18" s="2"/>
    </row>
    <row r="19" ht="14.25" customHeight="1">
      <c r="C19" s="8" t="s">
        <v>17</v>
      </c>
      <c r="D19" s="9">
        <v>1000000.0</v>
      </c>
    </row>
    <row r="20" ht="14.25" customHeight="1">
      <c r="C20" s="8" t="s">
        <v>18</v>
      </c>
      <c r="D20" s="9">
        <v>500000.0</v>
      </c>
    </row>
    <row r="21" ht="14.25" customHeight="1">
      <c r="C21" s="8" t="s">
        <v>19</v>
      </c>
      <c r="D21" s="9">
        <v>350000.0</v>
      </c>
    </row>
    <row r="22" ht="14.25" customHeight="1"/>
    <row r="23" ht="14.25" customHeight="1"/>
    <row r="24" ht="14.25" customHeight="1"/>
    <row r="25" ht="14.25" customHeight="1">
      <c r="A25" s="7" t="s">
        <v>20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24.0"/>
    <col customWidth="1" min="3" max="3" width="16.29"/>
    <col customWidth="1" min="4" max="4" width="49.14"/>
    <col customWidth="1" min="5" max="5" width="38.29"/>
    <col customWidth="1" min="6" max="6" width="10.86"/>
    <col customWidth="1" min="7" max="7" width="17.29"/>
    <col customWidth="1" min="8" max="8" width="26.71"/>
    <col customWidth="1" min="9" max="9" width="20.57"/>
    <col customWidth="1" min="10" max="10" width="17.86"/>
    <col customWidth="1" min="11" max="26" width="8.71"/>
  </cols>
  <sheetData>
    <row r="1" ht="14.25" customHeight="1">
      <c r="A1" s="1" t="s">
        <v>21</v>
      </c>
      <c r="B1" s="1" t="s">
        <v>22</v>
      </c>
      <c r="D1" s="10" t="s">
        <v>23</v>
      </c>
      <c r="E1" s="10" t="s">
        <v>24</v>
      </c>
      <c r="F1" s="10" t="s">
        <v>25</v>
      </c>
      <c r="G1" s="10" t="s">
        <v>19</v>
      </c>
      <c r="H1" s="10" t="s">
        <v>26</v>
      </c>
      <c r="I1" s="10" t="s">
        <v>27</v>
      </c>
      <c r="J1" s="10" t="s">
        <v>28</v>
      </c>
    </row>
    <row r="2" ht="14.25" customHeight="1">
      <c r="A2" s="3" t="s">
        <v>29</v>
      </c>
      <c r="B2" s="4">
        <v>0.0</v>
      </c>
      <c r="D2" s="7" t="s">
        <v>30</v>
      </c>
      <c r="E2" s="7">
        <v>8.0</v>
      </c>
      <c r="F2" s="7">
        <v>16.0</v>
      </c>
      <c r="G2" s="7" t="s">
        <v>31</v>
      </c>
      <c r="H2" s="7">
        <v>1.0</v>
      </c>
      <c r="I2" s="11" t="s">
        <v>32</v>
      </c>
      <c r="J2" s="7" t="s">
        <v>33</v>
      </c>
    </row>
    <row r="3" ht="14.25" customHeight="1">
      <c r="A3" s="3" t="s">
        <v>34</v>
      </c>
      <c r="B3" s="4">
        <v>0.0</v>
      </c>
    </row>
    <row r="4" ht="14.25" customHeight="1">
      <c r="A4" s="3" t="s">
        <v>35</v>
      </c>
      <c r="B4" s="4">
        <v>0.0</v>
      </c>
    </row>
    <row r="5" ht="14.25" customHeight="1">
      <c r="A5" s="3" t="s">
        <v>36</v>
      </c>
      <c r="B5" s="4">
        <v>1.481123654E7</v>
      </c>
      <c r="D5" s="10" t="s">
        <v>37</v>
      </c>
      <c r="E5" s="10" t="s">
        <v>24</v>
      </c>
      <c r="F5" s="10" t="s">
        <v>25</v>
      </c>
      <c r="G5" s="10" t="s">
        <v>19</v>
      </c>
      <c r="H5" s="10" t="s">
        <v>26</v>
      </c>
      <c r="I5" s="10" t="s">
        <v>27</v>
      </c>
      <c r="J5" s="10" t="s">
        <v>28</v>
      </c>
    </row>
    <row r="6" ht="14.25" customHeight="1">
      <c r="A6" s="3" t="s">
        <v>38</v>
      </c>
      <c r="B6" s="4">
        <v>5527413.38</v>
      </c>
      <c r="D6" s="7" t="s">
        <v>39</v>
      </c>
      <c r="E6" s="7">
        <v>2.0</v>
      </c>
      <c r="F6" s="7">
        <v>4.0</v>
      </c>
      <c r="G6" s="7" t="s">
        <v>31</v>
      </c>
      <c r="H6" s="7">
        <v>1.0</v>
      </c>
      <c r="I6" s="11" t="s">
        <v>40</v>
      </c>
      <c r="J6" s="7" t="s">
        <v>41</v>
      </c>
    </row>
    <row r="7" ht="14.25" customHeight="1">
      <c r="A7" s="12" t="s">
        <v>42</v>
      </c>
      <c r="B7" s="13">
        <f>SUM(B2:B6)</f>
        <v>20338649.92</v>
      </c>
      <c r="D7" s="10" t="s">
        <v>43</v>
      </c>
      <c r="E7" s="10" t="s">
        <v>44</v>
      </c>
      <c r="F7" s="10" t="s">
        <v>45</v>
      </c>
      <c r="H7" s="7"/>
    </row>
    <row r="8" ht="14.25" customHeight="1">
      <c r="D8" s="7" t="s">
        <v>46</v>
      </c>
      <c r="E8" s="7" t="s">
        <v>47</v>
      </c>
      <c r="F8" s="7" t="s">
        <v>48</v>
      </c>
      <c r="H8" s="7"/>
    </row>
    <row r="9" ht="14.25" customHeight="1">
      <c r="H9" s="7" t="s">
        <v>49</v>
      </c>
    </row>
    <row r="10" ht="14.25" customHeight="1"/>
    <row r="11" ht="14.25" customHeight="1">
      <c r="D11" s="7" t="s">
        <v>50</v>
      </c>
    </row>
    <row r="12" ht="14.25" customHeight="1">
      <c r="D12" s="4">
        <v>8091252.55</v>
      </c>
    </row>
    <row r="13" ht="14.25" customHeight="1">
      <c r="D13" s="14">
        <f>SUM(B7)</f>
        <v>20338649.92</v>
      </c>
    </row>
    <row r="14" ht="14.25" customHeight="1">
      <c r="D14" s="14">
        <f>SUM(D12:D13)</f>
        <v>28429902.47</v>
      </c>
    </row>
    <row r="15" ht="19.5" customHeight="1">
      <c r="D15" s="14">
        <f>SUM(D14+B19)</f>
        <v>30973728.06</v>
      </c>
      <c r="E15" s="7" t="s">
        <v>51</v>
      </c>
      <c r="H15" s="15"/>
    </row>
    <row r="16" ht="14.25" customHeight="1">
      <c r="C16" s="2" t="s">
        <v>52</v>
      </c>
    </row>
    <row r="17" ht="14.25" customHeight="1">
      <c r="A17" s="3" t="s">
        <v>53</v>
      </c>
      <c r="B17" s="4">
        <v>1494439.63</v>
      </c>
      <c r="C17" s="16" t="s">
        <v>54</v>
      </c>
      <c r="D17" s="11"/>
    </row>
    <row r="18" ht="14.25" customHeight="1">
      <c r="A18" s="3" t="s">
        <v>55</v>
      </c>
      <c r="B18" s="4">
        <v>7482.89</v>
      </c>
      <c r="C18" s="16" t="s">
        <v>56</v>
      </c>
      <c r="D18" s="11"/>
      <c r="G18" s="17"/>
    </row>
    <row r="19" ht="14.25" customHeight="1">
      <c r="A19" s="3" t="s">
        <v>57</v>
      </c>
      <c r="B19" s="4">
        <v>2543825.59</v>
      </c>
      <c r="C19" s="16" t="s">
        <v>58</v>
      </c>
      <c r="D19" s="11"/>
    </row>
    <row r="20" ht="14.25" customHeight="1">
      <c r="A20" s="3" t="s">
        <v>38</v>
      </c>
      <c r="B20" s="4"/>
      <c r="C20" s="16" t="s">
        <v>59</v>
      </c>
    </row>
    <row r="21" ht="14.25" customHeight="1">
      <c r="A21" s="3" t="s">
        <v>36</v>
      </c>
      <c r="B21" s="4"/>
      <c r="C21" s="16" t="s">
        <v>60</v>
      </c>
    </row>
    <row r="22" ht="14.25" customHeight="1"/>
    <row r="23" ht="14.25" customHeight="1"/>
    <row r="24" ht="14.25" customHeight="1"/>
    <row r="25" ht="14.25" customHeight="1"/>
    <row r="26" ht="14.25" customHeight="1">
      <c r="D26" s="7" t="s">
        <v>61</v>
      </c>
      <c r="E26" s="11" t="s">
        <v>62</v>
      </c>
    </row>
    <row r="27" ht="14.25" customHeight="1"/>
    <row r="28" ht="14.25" customHeight="1"/>
    <row r="29" ht="14.25" customHeight="1">
      <c r="A29" s="10" t="s">
        <v>63</v>
      </c>
      <c r="B29" s="10" t="s">
        <v>64</v>
      </c>
      <c r="C29" s="10"/>
      <c r="D29" s="10" t="s">
        <v>65</v>
      </c>
      <c r="E29" s="10" t="s">
        <v>66</v>
      </c>
    </row>
    <row r="30" ht="14.25" customHeight="1">
      <c r="A30" s="7">
        <v>1494439.63</v>
      </c>
      <c r="B30" s="7">
        <v>2543825.59</v>
      </c>
      <c r="D30" s="7">
        <v>8221662.84</v>
      </c>
      <c r="E30" s="7">
        <v>1481665.27</v>
      </c>
    </row>
    <row r="31" ht="14.25" customHeight="1"/>
    <row r="32" ht="14.25" customHeight="1">
      <c r="D32" s="10" t="s">
        <v>67</v>
      </c>
      <c r="E32" s="10" t="s">
        <v>68</v>
      </c>
    </row>
    <row r="33" ht="14.25" customHeight="1">
      <c r="D33" s="7">
        <f>(D30+(B30*2)+A30+B48)</f>
        <v>14803753.65</v>
      </c>
      <c r="E33" s="7">
        <f>(E30+B30+A30+B48)</f>
        <v>5519930.49</v>
      </c>
    </row>
    <row r="34" ht="14.25" customHeight="1"/>
    <row r="35" ht="14.25" customHeight="1"/>
    <row r="36" ht="14.25" customHeight="1"/>
    <row r="37" ht="14.25" customHeight="1">
      <c r="B37" s="11"/>
    </row>
    <row r="38" ht="14.25" customHeight="1"/>
    <row r="39" ht="14.25" customHeight="1"/>
    <row r="40" ht="14.25" customHeight="1"/>
    <row r="41" ht="14.25" customHeight="1"/>
    <row r="42" ht="14.25" customHeight="1">
      <c r="D42" s="7" t="s">
        <v>69</v>
      </c>
    </row>
    <row r="43" ht="14.25" customHeight="1">
      <c r="A43" s="2"/>
      <c r="B43" s="2"/>
      <c r="D43" s="7" t="s">
        <v>70</v>
      </c>
    </row>
    <row r="44" ht="14.25" customHeight="1">
      <c r="A44" s="18"/>
      <c r="B44" s="18"/>
      <c r="D44" s="7" t="s">
        <v>71</v>
      </c>
    </row>
    <row r="45" ht="14.25" customHeight="1">
      <c r="A45" s="18"/>
      <c r="B45" s="18"/>
      <c r="D45" s="7" t="s">
        <v>72</v>
      </c>
    </row>
    <row r="46" ht="14.25" customHeight="1">
      <c r="A46" s="18"/>
      <c r="B46" s="2"/>
    </row>
    <row r="47" ht="14.25" customHeight="1">
      <c r="A47" s="18"/>
      <c r="B47" s="19"/>
    </row>
    <row r="48" ht="14.25" customHeight="1">
      <c r="A48" s="20"/>
      <c r="B48" s="20"/>
      <c r="D48" s="7" t="s">
        <v>73</v>
      </c>
    </row>
    <row r="49" ht="14.25" customHeight="1">
      <c r="D49" s="7">
        <f>((B7/12))</f>
        <v>1694887.493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1.29"/>
    <col customWidth="1" min="3" max="26" width="8.71"/>
  </cols>
  <sheetData>
    <row r="1" ht="14.25" customHeight="1">
      <c r="A1" s="1" t="s">
        <v>21</v>
      </c>
      <c r="B1" s="1" t="s">
        <v>74</v>
      </c>
    </row>
    <row r="2" ht="14.25" customHeight="1">
      <c r="A2" s="5" t="s">
        <v>75</v>
      </c>
      <c r="B2" s="6">
        <f>RRHH!D12</f>
        <v>77688000</v>
      </c>
    </row>
    <row r="3" ht="14.25" customHeight="1">
      <c r="A3" s="12" t="s">
        <v>76</v>
      </c>
      <c r="B3" s="13">
        <f>Licencias!B7</f>
        <v>20338649.92</v>
      </c>
    </row>
    <row r="4" ht="14.25" customHeight="1">
      <c r="A4" s="3" t="s">
        <v>77</v>
      </c>
      <c r="B4" s="4">
        <f>B2+B3</f>
        <v>98026649.92</v>
      </c>
    </row>
    <row r="5" ht="14.25" customHeight="1">
      <c r="A5" s="3" t="s">
        <v>78</v>
      </c>
      <c r="B5" s="4">
        <f>(RRHH!D10+(Licencias!B7/12))</f>
        <v>6674887.493</v>
      </c>
      <c r="C5" s="7" t="s">
        <v>79</v>
      </c>
    </row>
    <row r="6" ht="14.25" customHeight="1">
      <c r="A6" s="21" t="s">
        <v>80</v>
      </c>
      <c r="B6" s="22">
        <f>(RRHH!D11+Licencias!B7)</f>
        <v>80098649.92</v>
      </c>
    </row>
    <row r="7" ht="14.25" customHeight="1">
      <c r="A7" s="3" t="s">
        <v>81</v>
      </c>
      <c r="B7" s="4">
        <f>B6-B4</f>
        <v>-17928000</v>
      </c>
    </row>
    <row r="8" ht="14.25" customHeight="1">
      <c r="A8" s="23" t="s">
        <v>82</v>
      </c>
      <c r="B8" s="23">
        <f>B6/B4</f>
        <v>0.817110959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2026-04-05T00:38:49Z</dcterms:created>
  <dc:creator>openpyxl</dc:creator>
</cp:coreProperties>
</file>