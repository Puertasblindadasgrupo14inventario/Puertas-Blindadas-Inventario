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mara\Downloads\"/>
    </mc:Choice>
  </mc:AlternateContent>
  <xr:revisionPtr revIDLastSave="0" documentId="13_ncr:1_{40070754-2C54-49FD-8430-1A1AE4DDD80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teración 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" i="1" l="1"/>
  <c r="I4" i="1"/>
  <c r="I3" i="1"/>
  <c r="I2" i="1"/>
</calcChain>
</file>

<file path=xl/sharedStrings.xml><?xml version="1.0" encoding="utf-8"?>
<sst xmlns="http://schemas.openxmlformats.org/spreadsheetml/2006/main" count="69" uniqueCount="69">
  <si>
    <t>CU</t>
  </si>
  <si>
    <t>Nombre</t>
  </si>
  <si>
    <t>N° CP</t>
  </si>
  <si>
    <t>Correctos</t>
  </si>
  <si>
    <t>Erróneos</t>
  </si>
  <si>
    <t>Iteración</t>
  </si>
  <si>
    <t>Resumen Iteración 1</t>
  </si>
  <si>
    <t>CU-19</t>
  </si>
  <si>
    <t>Registrando detalle de presentación comercial</t>
  </si>
  <si>
    <t>Total Correctos</t>
  </si>
  <si>
    <t>CU-30</t>
  </si>
  <si>
    <t>Registrando mediante código de barras</t>
  </si>
  <si>
    <t>Total Erróneos</t>
  </si>
  <si>
    <t>CU-31</t>
  </si>
  <si>
    <t>Visualizando historial de movimientos detallado</t>
  </si>
  <si>
    <t>% Aprobación</t>
  </si>
  <si>
    <t>CU-37</t>
  </si>
  <si>
    <t>Ejecutando conteo cíclico de inventario</t>
  </si>
  <si>
    <t>% Fallo</t>
  </si>
  <si>
    <t>CU-42</t>
  </si>
  <si>
    <t>Validando autorización de reversión</t>
  </si>
  <si>
    <t>CU-43</t>
  </si>
  <si>
    <t>Detectando diferencias de inventario</t>
  </si>
  <si>
    <t>CU-44</t>
  </si>
  <si>
    <t>Revirtiendo movimientos erróneos</t>
  </si>
  <si>
    <t>CU-47</t>
  </si>
  <si>
    <t>Notificando alertas por tiempo de reposición</t>
  </si>
  <si>
    <t>CU-48</t>
  </si>
  <si>
    <t>Visualizando alertas por tiempo de reposición</t>
  </si>
  <si>
    <t>CU-55</t>
  </si>
  <si>
    <t>Consultando alertas históricas</t>
  </si>
  <si>
    <t>CU-57</t>
  </si>
  <si>
    <t>Generando alertas por diferencia de inventario</t>
  </si>
  <si>
    <t>CU-59</t>
  </si>
  <si>
    <t>Seleccionando producto</t>
  </si>
  <si>
    <t>CU-60</t>
  </si>
  <si>
    <t>Vinculando precio y tiempo por producto</t>
  </si>
  <si>
    <t>CU-61</t>
  </si>
  <si>
    <t>Consultando historial de precios</t>
  </si>
  <si>
    <t>CU-62</t>
  </si>
  <si>
    <t>Calculando tiempos reales de entrega</t>
  </si>
  <si>
    <t>CU-63</t>
  </si>
  <si>
    <t>Visualizando métricas de cumplimiento</t>
  </si>
  <si>
    <t>CU-64</t>
  </si>
  <si>
    <t>Analizando variación de precios por proveedor</t>
  </si>
  <si>
    <t>CU-71</t>
  </si>
  <si>
    <t>Analizando el índice de rotación</t>
  </si>
  <si>
    <t>CU-75</t>
  </si>
  <si>
    <t>Visualizando reportes históricos consolidados</t>
  </si>
  <si>
    <t>CU-102</t>
  </si>
  <si>
    <t>Definiendo insumos estándar por proceso</t>
  </si>
  <si>
    <t>CU-103</t>
  </si>
  <si>
    <t>Procesando diferenciales de consumo</t>
  </si>
  <si>
    <t>CU-104</t>
  </si>
  <si>
    <t>Priorizando desviaciones críticas por impacto</t>
  </si>
  <si>
    <t>CU-106</t>
  </si>
  <si>
    <t>Consultando stock de inventario desde otro módulo</t>
  </si>
  <si>
    <t>CU-107</t>
  </si>
  <si>
    <t>Registrando movimiento de inventario desde otro módulo</t>
  </si>
  <si>
    <t>CU-108</t>
  </si>
  <si>
    <t>Configurando permisos de operación entre módulos</t>
  </si>
  <si>
    <t>CU-122</t>
  </si>
  <si>
    <t>Controlando insumos especiales</t>
  </si>
  <si>
    <t>CU-123</t>
  </si>
  <si>
    <t>Registrando insumo especial en catálogo</t>
  </si>
  <si>
    <t>CU-124</t>
  </si>
  <si>
    <t>Vinculando recepción de insumo especial a pedido</t>
  </si>
  <si>
    <t>CU-132</t>
  </si>
  <si>
    <t>Gestionando reservas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</si>
</sst>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2"/>
      <color rgb="FF2F5496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4"/>
      <name val="Arial"/>
      <charset val="1"/>
    </font>
    <font>
      <b/>
      <sz val="14"/>
      <color rgb="FF006100"/>
      <name val="Arial"/>
      <charset val="1"/>
    </font>
    <font>
      <b/>
      <sz val="14"/>
      <color rgb="FF9C0006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C6EFCE"/>
        <bgColor rgb="FFD9E2F3"/>
      </patternFill>
    </fill>
    <fill>
      <patternFill patternType="solid">
        <fgColor rgb="FFD9E2F3"/>
        <bgColor rgb="FFD9D9D9"/>
      </patternFill>
    </fill>
    <fill>
      <patternFill patternType="solid">
        <fgColor rgb="FFFFC7CE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D9E2F3"/>
      <rgbColor rgb="FF660066"/>
      <rgbColor rgb="FFED7D7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Casos de Prueba por CU — Iteración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'Iteración 1'!$D$1</c:f>
              <c:strCache>
                <c:ptCount val="1"/>
                <c:pt idx="0">
                  <c:v>Correctos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'Iteración 1'!$A$2:$A$30</c:f>
              <c:strCache>
                <c:ptCount val="29"/>
                <c:pt idx="0">
                  <c:v>CU-19</c:v>
                </c:pt>
                <c:pt idx="1">
                  <c:v>CU-30</c:v>
                </c:pt>
                <c:pt idx="2">
                  <c:v>CU-31</c:v>
                </c:pt>
                <c:pt idx="3">
                  <c:v>CU-37</c:v>
                </c:pt>
                <c:pt idx="4">
                  <c:v>CU-42</c:v>
                </c:pt>
                <c:pt idx="5">
                  <c:v>CU-43</c:v>
                </c:pt>
                <c:pt idx="6">
                  <c:v>CU-44</c:v>
                </c:pt>
                <c:pt idx="7">
                  <c:v>CU-47</c:v>
                </c:pt>
                <c:pt idx="8">
                  <c:v>CU-48</c:v>
                </c:pt>
                <c:pt idx="9">
                  <c:v>CU-55</c:v>
                </c:pt>
                <c:pt idx="10">
                  <c:v>CU-57</c:v>
                </c:pt>
                <c:pt idx="11">
                  <c:v>CU-59</c:v>
                </c:pt>
                <c:pt idx="12">
                  <c:v>CU-60</c:v>
                </c:pt>
                <c:pt idx="13">
                  <c:v>CU-61</c:v>
                </c:pt>
                <c:pt idx="14">
                  <c:v>CU-62</c:v>
                </c:pt>
                <c:pt idx="15">
                  <c:v>CU-63</c:v>
                </c:pt>
                <c:pt idx="16">
                  <c:v>CU-64</c:v>
                </c:pt>
                <c:pt idx="17">
                  <c:v>CU-71</c:v>
                </c:pt>
                <c:pt idx="18">
                  <c:v>CU-75</c:v>
                </c:pt>
                <c:pt idx="19">
                  <c:v>CU-102</c:v>
                </c:pt>
                <c:pt idx="20">
                  <c:v>CU-103</c:v>
                </c:pt>
                <c:pt idx="21">
                  <c:v>CU-104</c:v>
                </c:pt>
                <c:pt idx="22">
                  <c:v>CU-106</c:v>
                </c:pt>
                <c:pt idx="23">
                  <c:v>CU-107</c:v>
                </c:pt>
                <c:pt idx="24">
                  <c:v>CU-108</c:v>
                </c:pt>
                <c:pt idx="25">
                  <c:v>CU-122</c:v>
                </c:pt>
                <c:pt idx="26">
                  <c:v>CU-123</c:v>
                </c:pt>
                <c:pt idx="27">
                  <c:v>CU-124</c:v>
                </c:pt>
                <c:pt idx="28">
                  <c:v>CU-132</c:v>
                </c:pt>
              </c:strCache>
            </c:strRef>
          </c:cat>
          <c:val>
            <c:numRef>
              <c:f>'Iteración 1'!$D$2:$D$30</c:f>
              <c:numCache>
                <c:formatCode>General</c:formatCode>
                <c:ptCount val="2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5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4</c:v>
                </c:pt>
                <c:pt idx="26">
                  <c:v>3</c:v>
                </c:pt>
                <c:pt idx="27">
                  <c:v>4</c:v>
                </c:pt>
                <c:pt idx="2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F-452D-973B-42B74710EF15}"/>
            </c:ext>
          </c:extLst>
        </c:ser>
        <c:ser>
          <c:idx val="1"/>
          <c:order val="1"/>
          <c:tx>
            <c:strRef>
              <c:f>'Iteración 1'!$E$1</c:f>
              <c:strCache>
                <c:ptCount val="1"/>
                <c:pt idx="0">
                  <c:v>Erróneos</c:v>
                </c:pt>
              </c:strCache>
            </c:strRef>
          </c:tx>
          <c:spPr>
            <a:solidFill>
              <a:srgbClr val="ED7D7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'Iteración 1'!$A$2:$A$30</c:f>
              <c:strCache>
                <c:ptCount val="29"/>
                <c:pt idx="0">
                  <c:v>CU-19</c:v>
                </c:pt>
                <c:pt idx="1">
                  <c:v>CU-30</c:v>
                </c:pt>
                <c:pt idx="2">
                  <c:v>CU-31</c:v>
                </c:pt>
                <c:pt idx="3">
                  <c:v>CU-37</c:v>
                </c:pt>
                <c:pt idx="4">
                  <c:v>CU-42</c:v>
                </c:pt>
                <c:pt idx="5">
                  <c:v>CU-43</c:v>
                </c:pt>
                <c:pt idx="6">
                  <c:v>CU-44</c:v>
                </c:pt>
                <c:pt idx="7">
                  <c:v>CU-47</c:v>
                </c:pt>
                <c:pt idx="8">
                  <c:v>CU-48</c:v>
                </c:pt>
                <c:pt idx="9">
                  <c:v>CU-55</c:v>
                </c:pt>
                <c:pt idx="10">
                  <c:v>CU-57</c:v>
                </c:pt>
                <c:pt idx="11">
                  <c:v>CU-59</c:v>
                </c:pt>
                <c:pt idx="12">
                  <c:v>CU-60</c:v>
                </c:pt>
                <c:pt idx="13">
                  <c:v>CU-61</c:v>
                </c:pt>
                <c:pt idx="14">
                  <c:v>CU-62</c:v>
                </c:pt>
                <c:pt idx="15">
                  <c:v>CU-63</c:v>
                </c:pt>
                <c:pt idx="16">
                  <c:v>CU-64</c:v>
                </c:pt>
                <c:pt idx="17">
                  <c:v>CU-71</c:v>
                </c:pt>
                <c:pt idx="18">
                  <c:v>CU-75</c:v>
                </c:pt>
                <c:pt idx="19">
                  <c:v>CU-102</c:v>
                </c:pt>
                <c:pt idx="20">
                  <c:v>CU-103</c:v>
                </c:pt>
                <c:pt idx="21">
                  <c:v>CU-104</c:v>
                </c:pt>
                <c:pt idx="22">
                  <c:v>CU-106</c:v>
                </c:pt>
                <c:pt idx="23">
                  <c:v>CU-107</c:v>
                </c:pt>
                <c:pt idx="24">
                  <c:v>CU-108</c:v>
                </c:pt>
                <c:pt idx="25">
                  <c:v>CU-122</c:v>
                </c:pt>
                <c:pt idx="26">
                  <c:v>CU-123</c:v>
                </c:pt>
                <c:pt idx="27">
                  <c:v>CU-124</c:v>
                </c:pt>
                <c:pt idx="28">
                  <c:v>CU-132</c:v>
                </c:pt>
              </c:strCache>
            </c:strRef>
          </c:cat>
          <c:val>
            <c:numRef>
              <c:f>'Iteración 1'!$E$2:$E$30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9F-452D-973B-42B74710E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777558"/>
        <c:axId val="89384321"/>
      </c:barChart>
      <c:catAx>
        <c:axId val="967775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Caso de Uso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89384321"/>
        <c:crosses val="autoZero"/>
        <c:auto val="1"/>
        <c:lblAlgn val="ctr"/>
        <c:lblOffset val="100"/>
        <c:noMultiLvlLbl val="0"/>
      </c:catAx>
      <c:valAx>
        <c:axId val="8938432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Cantidad CP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96777558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9</xdr:col>
      <xdr:colOff>176760</xdr:colOff>
      <xdr:row>60</xdr:row>
      <xdr:rowOff>65520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24" zoomScaleNormal="100" workbookViewId="0"/>
  </sheetViews>
  <sheetFormatPr defaultColWidth="8.7109375" defaultRowHeight="15" x14ac:dyDescent="0.25"/>
  <cols>
    <col min="1" max="1" width="10" customWidth="1"/>
    <col min="2" max="2" width="50" customWidth="1"/>
    <col min="3" max="3" width="8" customWidth="1"/>
    <col min="4" max="6" width="12" customWidth="1"/>
    <col min="8" max="8" width="22" customWidth="1"/>
    <col min="9" max="9" width="16" customWidth="1"/>
  </cols>
  <sheetData>
    <row r="1" spans="1:9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1" t="s">
        <v>6</v>
      </c>
      <c r="I1" s="1"/>
    </row>
    <row r="2" spans="1:9" ht="17.25" customHeight="1" x14ac:dyDescent="0.25">
      <c r="A2" s="3" t="s">
        <v>7</v>
      </c>
      <c r="B2" s="4" t="s">
        <v>8</v>
      </c>
      <c r="C2" s="5">
        <v>4</v>
      </c>
      <c r="D2" s="6">
        <v>4</v>
      </c>
      <c r="E2" s="5">
        <v>0</v>
      </c>
      <c r="F2" s="5">
        <v>1</v>
      </c>
      <c r="H2" s="7" t="s">
        <v>9</v>
      </c>
      <c r="I2" s="8">
        <f>SUM(D2:D500)</f>
        <v>108</v>
      </c>
    </row>
    <row r="3" spans="1:9" ht="17.25" customHeight="1" x14ac:dyDescent="0.25">
      <c r="A3" s="3" t="s">
        <v>10</v>
      </c>
      <c r="B3" s="4" t="s">
        <v>11</v>
      </c>
      <c r="C3" s="5">
        <v>4</v>
      </c>
      <c r="D3" s="6">
        <v>4</v>
      </c>
      <c r="E3" s="5">
        <v>0</v>
      </c>
      <c r="F3" s="5">
        <v>1</v>
      </c>
      <c r="H3" s="7" t="s">
        <v>12</v>
      </c>
      <c r="I3" s="8">
        <f>SUM(E2:E500)</f>
        <v>0</v>
      </c>
    </row>
    <row r="4" spans="1:9" ht="17.25" customHeight="1" x14ac:dyDescent="0.25">
      <c r="A4" s="3" t="s">
        <v>13</v>
      </c>
      <c r="B4" s="4" t="s">
        <v>14</v>
      </c>
      <c r="C4" s="5">
        <v>4</v>
      </c>
      <c r="D4" s="6">
        <v>4</v>
      </c>
      <c r="E4" s="5">
        <v>0</v>
      </c>
      <c r="F4" s="5">
        <v>1</v>
      </c>
      <c r="H4" s="7" t="s">
        <v>15</v>
      </c>
      <c r="I4" s="9">
        <f>IFERROR(SUM(D2:D500)/SUM(C2:C500),0)</f>
        <v>1</v>
      </c>
    </row>
    <row r="5" spans="1:9" ht="17.25" customHeight="1" x14ac:dyDescent="0.25">
      <c r="A5" s="3" t="s">
        <v>16</v>
      </c>
      <c r="B5" s="4" t="s">
        <v>17</v>
      </c>
      <c r="C5" s="5">
        <v>5</v>
      </c>
      <c r="D5" s="6">
        <v>5</v>
      </c>
      <c r="E5" s="5">
        <v>0</v>
      </c>
      <c r="F5" s="5">
        <v>1</v>
      </c>
      <c r="H5" s="7" t="s">
        <v>18</v>
      </c>
      <c r="I5" s="10">
        <f>IFERROR(SUM(E2:E500)/SUM(C2:C500),0)</f>
        <v>0</v>
      </c>
    </row>
    <row r="6" spans="1:9" ht="17.25" customHeight="1" x14ac:dyDescent="0.25">
      <c r="A6" s="3" t="s">
        <v>19</v>
      </c>
      <c r="B6" s="4" t="s">
        <v>20</v>
      </c>
      <c r="C6" s="5">
        <v>3</v>
      </c>
      <c r="D6" s="6">
        <v>3</v>
      </c>
      <c r="E6" s="5">
        <v>0</v>
      </c>
      <c r="F6" s="5">
        <v>1</v>
      </c>
    </row>
    <row r="7" spans="1:9" ht="15" customHeight="1" x14ac:dyDescent="0.25">
      <c r="A7" s="3" t="s">
        <v>21</v>
      </c>
      <c r="B7" s="4" t="s">
        <v>22</v>
      </c>
      <c r="C7" s="5">
        <v>4</v>
      </c>
      <c r="D7" s="6">
        <v>4</v>
      </c>
      <c r="E7" s="5">
        <v>0</v>
      </c>
      <c r="F7" s="5">
        <v>1</v>
      </c>
    </row>
    <row r="8" spans="1:9" ht="15" customHeight="1" x14ac:dyDescent="0.25">
      <c r="A8" s="3" t="s">
        <v>23</v>
      </c>
      <c r="B8" s="4" t="s">
        <v>24</v>
      </c>
      <c r="C8" s="5">
        <v>4</v>
      </c>
      <c r="D8" s="6">
        <v>4</v>
      </c>
      <c r="E8" s="5">
        <v>0</v>
      </c>
      <c r="F8" s="5">
        <v>1</v>
      </c>
    </row>
    <row r="9" spans="1:9" ht="15" customHeight="1" x14ac:dyDescent="0.25">
      <c r="A9" s="3" t="s">
        <v>25</v>
      </c>
      <c r="B9" s="4" t="s">
        <v>26</v>
      </c>
      <c r="C9" s="5">
        <v>4</v>
      </c>
      <c r="D9" s="6">
        <v>4</v>
      </c>
      <c r="E9" s="5">
        <v>0</v>
      </c>
      <c r="F9" s="5">
        <v>1</v>
      </c>
    </row>
    <row r="10" spans="1:9" ht="15" customHeight="1" x14ac:dyDescent="0.25">
      <c r="A10" s="3" t="s">
        <v>27</v>
      </c>
      <c r="B10" s="4" t="s">
        <v>28</v>
      </c>
      <c r="C10" s="5">
        <v>3</v>
      </c>
      <c r="D10" s="6">
        <v>3</v>
      </c>
      <c r="E10" s="5">
        <v>0</v>
      </c>
      <c r="F10" s="5">
        <v>1</v>
      </c>
    </row>
    <row r="11" spans="1:9" ht="15" customHeight="1" x14ac:dyDescent="0.25">
      <c r="A11" s="3" t="s">
        <v>29</v>
      </c>
      <c r="B11" s="4" t="s">
        <v>30</v>
      </c>
      <c r="C11" s="5">
        <v>4</v>
      </c>
      <c r="D11" s="6">
        <v>4</v>
      </c>
      <c r="E11" s="5">
        <v>0</v>
      </c>
      <c r="F11" s="5">
        <v>1</v>
      </c>
    </row>
    <row r="12" spans="1:9" ht="15" customHeight="1" x14ac:dyDescent="0.25">
      <c r="A12" s="3" t="s">
        <v>31</v>
      </c>
      <c r="B12" s="4" t="s">
        <v>32</v>
      </c>
      <c r="C12" s="5">
        <v>4</v>
      </c>
      <c r="D12" s="6">
        <v>4</v>
      </c>
      <c r="E12" s="5">
        <v>0</v>
      </c>
      <c r="F12" s="5">
        <v>1</v>
      </c>
    </row>
    <row r="13" spans="1:9" ht="15" customHeight="1" x14ac:dyDescent="0.25">
      <c r="A13" s="3" t="s">
        <v>33</v>
      </c>
      <c r="B13" s="4" t="s">
        <v>34</v>
      </c>
      <c r="C13" s="5">
        <v>3</v>
      </c>
      <c r="D13" s="6">
        <v>3</v>
      </c>
      <c r="E13" s="5">
        <v>0</v>
      </c>
      <c r="F13" s="5">
        <v>1</v>
      </c>
    </row>
    <row r="14" spans="1:9" ht="15" customHeight="1" x14ac:dyDescent="0.25">
      <c r="A14" s="3" t="s">
        <v>35</v>
      </c>
      <c r="B14" s="4" t="s">
        <v>36</v>
      </c>
      <c r="C14" s="5">
        <v>3</v>
      </c>
      <c r="D14" s="6">
        <v>3</v>
      </c>
      <c r="E14" s="5">
        <v>0</v>
      </c>
      <c r="F14" s="5">
        <v>1</v>
      </c>
    </row>
    <row r="15" spans="1:9" ht="15" customHeight="1" x14ac:dyDescent="0.25">
      <c r="A15" s="3" t="s">
        <v>37</v>
      </c>
      <c r="B15" s="4" t="s">
        <v>38</v>
      </c>
      <c r="C15" s="5">
        <v>3</v>
      </c>
      <c r="D15" s="6">
        <v>3</v>
      </c>
      <c r="E15" s="5">
        <v>0</v>
      </c>
      <c r="F15" s="5">
        <v>1</v>
      </c>
    </row>
    <row r="16" spans="1:9" ht="15" customHeight="1" x14ac:dyDescent="0.25">
      <c r="A16" s="3" t="s">
        <v>39</v>
      </c>
      <c r="B16" s="4" t="s">
        <v>40</v>
      </c>
      <c r="C16" s="5">
        <v>3</v>
      </c>
      <c r="D16" s="6">
        <v>3</v>
      </c>
      <c r="E16" s="5">
        <v>0</v>
      </c>
      <c r="F16" s="5">
        <v>1</v>
      </c>
    </row>
    <row r="17" spans="1:6" ht="15" customHeight="1" x14ac:dyDescent="0.25">
      <c r="A17" s="3" t="s">
        <v>41</v>
      </c>
      <c r="B17" s="4" t="s">
        <v>42</v>
      </c>
      <c r="C17" s="5">
        <v>3</v>
      </c>
      <c r="D17" s="6">
        <v>3</v>
      </c>
      <c r="E17" s="5">
        <v>0</v>
      </c>
      <c r="F17" s="5">
        <v>1</v>
      </c>
    </row>
    <row r="18" spans="1:6" ht="15" customHeight="1" x14ac:dyDescent="0.25">
      <c r="A18" s="3" t="s">
        <v>43</v>
      </c>
      <c r="B18" s="4" t="s">
        <v>44</v>
      </c>
      <c r="C18" s="5">
        <v>3</v>
      </c>
      <c r="D18" s="6">
        <v>3</v>
      </c>
      <c r="E18" s="5">
        <v>0</v>
      </c>
      <c r="F18" s="5">
        <v>1</v>
      </c>
    </row>
    <row r="19" spans="1:6" ht="15" customHeight="1" x14ac:dyDescent="0.25">
      <c r="A19" s="3" t="s">
        <v>45</v>
      </c>
      <c r="B19" s="4" t="s">
        <v>46</v>
      </c>
      <c r="C19" s="5">
        <v>4</v>
      </c>
      <c r="D19" s="6">
        <v>4</v>
      </c>
      <c r="E19" s="5">
        <v>0</v>
      </c>
      <c r="F19" s="5">
        <v>1</v>
      </c>
    </row>
    <row r="20" spans="1:6" ht="15" customHeight="1" x14ac:dyDescent="0.25">
      <c r="A20" s="3" t="s">
        <v>47</v>
      </c>
      <c r="B20" s="4" t="s">
        <v>48</v>
      </c>
      <c r="C20" s="5">
        <v>4</v>
      </c>
      <c r="D20" s="6">
        <v>4</v>
      </c>
      <c r="E20" s="5">
        <v>0</v>
      </c>
      <c r="F20" s="5">
        <v>1</v>
      </c>
    </row>
    <row r="21" spans="1:6" ht="15" customHeight="1" x14ac:dyDescent="0.25">
      <c r="A21" s="3" t="s">
        <v>49</v>
      </c>
      <c r="B21" s="4" t="s">
        <v>50</v>
      </c>
      <c r="C21" s="5">
        <v>5</v>
      </c>
      <c r="D21" s="6">
        <v>5</v>
      </c>
      <c r="E21" s="5">
        <v>0</v>
      </c>
      <c r="F21" s="5">
        <v>1</v>
      </c>
    </row>
    <row r="22" spans="1:6" ht="15" customHeight="1" x14ac:dyDescent="0.25">
      <c r="A22" s="3" t="s">
        <v>51</v>
      </c>
      <c r="B22" s="4" t="s">
        <v>52</v>
      </c>
      <c r="C22" s="5">
        <v>3</v>
      </c>
      <c r="D22" s="6">
        <v>3</v>
      </c>
      <c r="E22" s="5">
        <v>0</v>
      </c>
      <c r="F22" s="5">
        <v>1</v>
      </c>
    </row>
    <row r="23" spans="1:6" ht="15" customHeight="1" x14ac:dyDescent="0.25">
      <c r="A23" s="3" t="s">
        <v>53</v>
      </c>
      <c r="B23" s="4" t="s">
        <v>54</v>
      </c>
      <c r="C23" s="5">
        <v>3</v>
      </c>
      <c r="D23" s="6">
        <v>3</v>
      </c>
      <c r="E23" s="5">
        <v>0</v>
      </c>
      <c r="F23" s="5">
        <v>1</v>
      </c>
    </row>
    <row r="24" spans="1:6" ht="15" customHeight="1" x14ac:dyDescent="0.25">
      <c r="A24" s="3" t="s">
        <v>55</v>
      </c>
      <c r="B24" s="4" t="s">
        <v>56</v>
      </c>
      <c r="C24" s="5">
        <v>4</v>
      </c>
      <c r="D24" s="6">
        <v>4</v>
      </c>
      <c r="E24" s="5">
        <v>0</v>
      </c>
      <c r="F24" s="5">
        <v>1</v>
      </c>
    </row>
    <row r="25" spans="1:6" ht="15" customHeight="1" x14ac:dyDescent="0.25">
      <c r="A25" s="3" t="s">
        <v>57</v>
      </c>
      <c r="B25" s="4" t="s">
        <v>58</v>
      </c>
      <c r="C25" s="5">
        <v>5</v>
      </c>
      <c r="D25" s="6">
        <v>5</v>
      </c>
      <c r="E25" s="5">
        <v>0</v>
      </c>
      <c r="F25" s="5">
        <v>1</v>
      </c>
    </row>
    <row r="26" spans="1:6" ht="15" customHeight="1" x14ac:dyDescent="0.25">
      <c r="A26" s="3" t="s">
        <v>59</v>
      </c>
      <c r="B26" s="4" t="s">
        <v>60</v>
      </c>
      <c r="C26" s="5">
        <v>4</v>
      </c>
      <c r="D26" s="6">
        <v>4</v>
      </c>
      <c r="E26" s="5">
        <v>0</v>
      </c>
      <c r="F26" s="5">
        <v>1</v>
      </c>
    </row>
    <row r="27" spans="1:6" ht="15" customHeight="1" x14ac:dyDescent="0.25">
      <c r="A27" s="3" t="s">
        <v>61</v>
      </c>
      <c r="B27" s="4" t="s">
        <v>62</v>
      </c>
      <c r="C27" s="5">
        <v>4</v>
      </c>
      <c r="D27" s="6">
        <v>4</v>
      </c>
      <c r="E27" s="5">
        <v>0</v>
      </c>
      <c r="F27" s="5">
        <v>1</v>
      </c>
    </row>
    <row r="28" spans="1:6" ht="15" customHeight="1" x14ac:dyDescent="0.25">
      <c r="A28" s="3" t="s">
        <v>63</v>
      </c>
      <c r="B28" s="4" t="s">
        <v>64</v>
      </c>
      <c r="C28" s="5">
        <v>3</v>
      </c>
      <c r="D28" s="6">
        <v>3</v>
      </c>
      <c r="E28" s="5">
        <v>0</v>
      </c>
      <c r="F28" s="5">
        <v>1</v>
      </c>
    </row>
    <row r="29" spans="1:6" ht="15" customHeight="1" x14ac:dyDescent="0.25">
      <c r="A29" s="3" t="s">
        <v>65</v>
      </c>
      <c r="B29" s="4" t="s">
        <v>66</v>
      </c>
      <c r="C29" s="5">
        <v>4</v>
      </c>
      <c r="D29" s="6">
        <v>4</v>
      </c>
      <c r="E29" s="5">
        <v>0</v>
      </c>
      <c r="F29" s="5">
        <v>1</v>
      </c>
    </row>
    <row r="30" spans="1:6" ht="15" customHeight="1" x14ac:dyDescent="0.25">
      <c r="A30" s="3" t="s">
        <v>67</v>
      </c>
      <c r="B30" s="4" t="s">
        <v>68</v>
      </c>
      <c r="C30" s="5">
        <v>4</v>
      </c>
      <c r="D30" s="6">
        <v>4</v>
      </c>
      <c r="E30" s="5">
        <v>0</v>
      </c>
      <c r="F30" s="5">
        <v>1</v>
      </c>
    </row>
    <row r="31" spans="1:6" ht="15" customHeight="1" x14ac:dyDescent="0.25"/>
    <row r="32" spans="1: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</sheetData>
  <mergeCells count="1">
    <mergeCell ref="H1:I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Iteración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Omar Olmos</cp:lastModifiedBy>
  <cp:revision>2</cp:revision>
  <dcterms:created xsi:type="dcterms:W3CDTF">2026-09-13T20:12:38Z</dcterms:created>
  <dcterms:modified xsi:type="dcterms:W3CDTF">2026-10-01T21:39:37Z</dcterms:modified>
  <dc:language>en-US</dc:language>
</cp:coreProperties>
</file>