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mara\Downloads\"/>
    </mc:Choice>
  </mc:AlternateContent>
  <xr:revisionPtr revIDLastSave="0" documentId="13_ncr:1_{635E031A-2F0F-4830-95DB-2B66956ACC65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Iteración 1" sheetId="1" r:id="rId1"/>
    <sheet name="Iteración 2" sheetId="2" r:id="rId2"/>
    <sheet name="Iteración 3" sheetId="3" r:id="rId3"/>
    <sheet name="Comparativo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5" i="3" l="1"/>
  <c r="I4" i="3"/>
  <c r="I3" i="3"/>
  <c r="I2" i="3"/>
  <c r="I5" i="2"/>
  <c r="I4" i="2"/>
  <c r="I3" i="2"/>
  <c r="I2" i="2"/>
  <c r="I5" i="1"/>
  <c r="I4" i="1"/>
  <c r="I3" i="1"/>
  <c r="I2" i="1"/>
</calcChain>
</file>

<file path=xl/sharedStrings.xml><?xml version="1.0" encoding="utf-8"?>
<sst xmlns="http://schemas.openxmlformats.org/spreadsheetml/2006/main" count="339" uniqueCount="118">
  <si>
    <t>CU</t>
  </si>
  <si>
    <t>Nombre</t>
  </si>
  <si>
    <t>N° CP</t>
  </si>
  <si>
    <t>Correctos</t>
  </si>
  <si>
    <t>Erróneos</t>
  </si>
  <si>
    <t>Iteración</t>
  </si>
  <si>
    <t>Resumen Iteración 1</t>
  </si>
  <si>
    <t>CU-11</t>
  </si>
  <si>
    <t>Organizando los productos de forma jerárquica</t>
  </si>
  <si>
    <t>Total Correctos</t>
  </si>
  <si>
    <t>CU-13</t>
  </si>
  <si>
    <t>Identificando productos críticos</t>
  </si>
  <si>
    <t>Total Erróneos</t>
  </si>
  <si>
    <t>CU-15</t>
  </si>
  <si>
    <t>Gestionando stock crítico</t>
  </si>
  <si>
    <t>% Aprobación</t>
  </si>
  <si>
    <t>CU-16</t>
  </si>
  <si>
    <t>Asociando múltiples proveedores</t>
  </si>
  <si>
    <t>% Fallo</t>
  </si>
  <si>
    <t>CU-17</t>
  </si>
  <si>
    <t>Registrando tiempos de reposición por proveedor</t>
  </si>
  <si>
    <t>CU-18</t>
  </si>
  <si>
    <t>Consultando historial de precios unitarios</t>
  </si>
  <si>
    <t>CU-25</t>
  </si>
  <si>
    <t>Subdividiendo ubicación interna por anaqueles</t>
  </si>
  <si>
    <t>CU-32</t>
  </si>
  <si>
    <t>Asociando entradas a facturas</t>
  </si>
  <si>
    <t>CU-34</t>
  </si>
  <si>
    <t>Trazando responsable de movimiento</t>
  </si>
  <si>
    <t>CU-39</t>
  </si>
  <si>
    <t>Consultando historial filtrado por producto</t>
  </si>
  <si>
    <t>CU-40</t>
  </si>
  <si>
    <t>Auditando historial filtrado por usuario</t>
  </si>
  <si>
    <t>CU-49</t>
  </si>
  <si>
    <t>Recibiendo notificaciones internas por rol</t>
  </si>
  <si>
    <t>CU-50</t>
  </si>
  <si>
    <t>Consultando historial de alertas internas</t>
  </si>
  <si>
    <t>CU-53</t>
  </si>
  <si>
    <t>Priorizando alertas críticas</t>
  </si>
  <si>
    <t>CU-56</t>
  </si>
  <si>
    <t>Registrando resolución de alerta</t>
  </si>
  <si>
    <t>CU-66</t>
  </si>
  <si>
    <t>Consultando stock actual</t>
  </si>
  <si>
    <t>CU-67</t>
  </si>
  <si>
    <t>Visualizando stock de productos críticos</t>
  </si>
  <si>
    <t>CU-68</t>
  </si>
  <si>
    <t>Visualizando el valor económico total del inventario</t>
  </si>
  <si>
    <t>CU-69</t>
  </si>
  <si>
    <t>Analizando el consumo por área</t>
  </si>
  <si>
    <t>CU-72</t>
  </si>
  <si>
    <t>Visualizando reportes de merma y pérdida</t>
  </si>
  <si>
    <t>CU-73</t>
  </si>
  <si>
    <t>Solicitando aprobación gerencial para merma de producto crítico</t>
  </si>
  <si>
    <t>CU-74</t>
  </si>
  <si>
    <t>Aprobando o rechazando merma de producto crítico</t>
  </si>
  <si>
    <t>CU-77</t>
  </si>
  <si>
    <t>Utilizando filtros avanzados en reportes</t>
  </si>
  <si>
    <t>CU-83</t>
  </si>
  <si>
    <t>Recuperando mi contraseña</t>
  </si>
  <si>
    <t>CU-84</t>
  </si>
  <si>
    <t>Reseteando contraseña por intervención administrativa</t>
  </si>
  <si>
    <t>CU-88</t>
  </si>
  <si>
    <t>Realizando auditoría de acciones por usuario</t>
  </si>
  <si>
    <t>CU-89</t>
  </si>
  <si>
    <t>Editando permisos de usuario</t>
  </si>
  <si>
    <t>CU-90</t>
  </si>
  <si>
    <t>Desactivando usuarios</t>
  </si>
  <si>
    <t>CU-91</t>
  </si>
  <si>
    <t>Modificando estado del usuario</t>
  </si>
  <si>
    <t>CU-92</t>
  </si>
  <si>
    <t>Programando desactivación diferida</t>
  </si>
  <si>
    <t>CU-93</t>
  </si>
  <si>
    <t>Programando activación diferida</t>
  </si>
  <si>
    <t>CU-95</t>
  </si>
  <si>
    <t>Registrando consumos en orden de trabajo</t>
  </si>
  <si>
    <t>CU-96</t>
  </si>
  <si>
    <t>Consultando consumos registrados en una OT</t>
  </si>
  <si>
    <t>CU-97</t>
  </si>
  <si>
    <t>Registrando consumo estimado</t>
  </si>
  <si>
    <t>CU-98</t>
  </si>
  <si>
    <t>Generando reporte comparativo "Estimado vs. Real"</t>
  </si>
  <si>
    <t>CU-99</t>
  </si>
  <si>
    <t>Modificando consumo estimado de una OT</t>
  </si>
  <si>
    <t>CU-100</t>
  </si>
  <si>
    <t>Consolidando costos por orden de trabajo</t>
  </si>
  <si>
    <t>CU-101</t>
  </si>
  <si>
    <t>Analizando rentabilidad y sugerencia de precio</t>
  </si>
  <si>
    <t>CU-105</t>
  </si>
  <si>
    <t>Actualizando el stock de manera instantánea</t>
  </si>
  <si>
    <t>CU-112</t>
  </si>
  <si>
    <t>Recibiendo alertas anticipadas de productos faltantes</t>
  </si>
  <si>
    <t>CU-113</t>
  </si>
  <si>
    <t>Consultando información de abastecimiento crítico</t>
  </si>
  <si>
    <t>CU-114</t>
  </si>
  <si>
    <t>Generando solicitud de compra de emergencia</t>
  </si>
  <si>
    <t>CU-115</t>
  </si>
  <si>
    <t>Resolviendo o descartando alerta de faltante</t>
  </si>
  <si>
    <t>CU-116</t>
  </si>
  <si>
    <t>Visualizando lista de chequeo por pedido</t>
  </si>
  <si>
    <t>CU-117</t>
  </si>
  <si>
    <t>Consultando estado de disponibilidad del pedido</t>
  </si>
  <si>
    <t>CU-118</t>
  </si>
  <si>
    <t>Reportando discrepancia en checklist</t>
  </si>
  <si>
    <t>CU-128</t>
  </si>
  <si>
    <t>Visualizando reporte semanal de programación</t>
  </si>
  <si>
    <t>CU-129</t>
  </si>
  <si>
    <t>Consultando detalle de faltantes por instalación</t>
  </si>
  <si>
    <t>CU-130</t>
  </si>
  <si>
    <t>Exportando cronograma semanal de instalaciones</t>
  </si>
  <si>
    <t>CU-133</t>
  </si>
  <si>
    <t>Visualizando información de pintura sobrante</t>
  </si>
  <si>
    <t>Resumen Iteración 2</t>
  </si>
  <si>
    <t>Resumen Iteración 3</t>
  </si>
  <si>
    <t>CP Correcto</t>
  </si>
  <si>
    <t>CP Erróneo</t>
  </si>
  <si>
    <t>Iteración 1</t>
  </si>
  <si>
    <t>Iteración 2</t>
  </si>
  <si>
    <t>Iteración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</si>
</sst>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b/>
      <sz val="12"/>
      <color rgb="FF2F5496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b/>
      <sz val="14"/>
      <name val="Arial"/>
      <charset val="1"/>
    </font>
    <font>
      <b/>
      <sz val="14"/>
      <color rgb="FF006100"/>
      <name val="Arial"/>
      <charset val="1"/>
    </font>
    <font>
      <b/>
      <sz val="14"/>
      <color rgb="FF9C0006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2F5496"/>
        <bgColor rgb="FF4472C4"/>
      </patternFill>
    </fill>
    <fill>
      <patternFill patternType="solid">
        <fgColor rgb="FFFFC7CE"/>
        <bgColor rgb="FFD9D9D9"/>
      </patternFill>
    </fill>
    <fill>
      <patternFill patternType="solid">
        <fgColor rgb="FFD9E2F3"/>
        <bgColor rgb="FFD9D9D9"/>
      </patternFill>
    </fill>
    <fill>
      <patternFill patternType="solid">
        <fgColor rgb="FFC6EFCE"/>
        <bgColor rgb="FFD9E2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64" fontId="7" fillId="5" borderId="1" xfId="0" applyNumberFormat="1" applyFont="1" applyFill="1" applyBorder="1" applyAlignment="1">
      <alignment horizontal="center" vertical="center"/>
    </xf>
    <xf numFmtId="164" fontId="8" fillId="3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D9E2F3"/>
      <rgbColor rgb="FF660066"/>
      <rgbColor rgb="FFED7D7D"/>
      <rgbColor rgb="FF0066CC"/>
      <rgbColor rgb="FFB4C7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C6EFCE"/>
      <rgbColor rgb="FFFFFF99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L" sz="1800" b="1" strike="noStrike" spc="-1">
                <a:solidFill>
                  <a:srgbClr val="000000"/>
                </a:solidFill>
                <a:latin typeface="Calibri"/>
              </a:rPr>
              <a:t>Casos de Prueba por CU — Iteración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'Iteración 1'!$D$1</c:f>
              <c:strCache>
                <c:ptCount val="1"/>
                <c:pt idx="0">
                  <c:v>Correctos</c:v>
                </c:pt>
              </c:strCache>
            </c:strRef>
          </c:tx>
          <c:spPr>
            <a:solidFill>
              <a:srgbClr val="4472C4"/>
            </a:solidFill>
            <a:ln w="936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'Iteración 1'!$A$2:$A$51</c:f>
              <c:strCache>
                <c:ptCount val="50"/>
                <c:pt idx="0">
                  <c:v>CU-11</c:v>
                </c:pt>
                <c:pt idx="1">
                  <c:v>CU-13</c:v>
                </c:pt>
                <c:pt idx="2">
                  <c:v>CU-15</c:v>
                </c:pt>
                <c:pt idx="3">
                  <c:v>CU-16</c:v>
                </c:pt>
                <c:pt idx="4">
                  <c:v>CU-17</c:v>
                </c:pt>
                <c:pt idx="5">
                  <c:v>CU-18</c:v>
                </c:pt>
                <c:pt idx="6">
                  <c:v>CU-25</c:v>
                </c:pt>
                <c:pt idx="7">
                  <c:v>CU-32</c:v>
                </c:pt>
                <c:pt idx="8">
                  <c:v>CU-34</c:v>
                </c:pt>
                <c:pt idx="9">
                  <c:v>CU-39</c:v>
                </c:pt>
                <c:pt idx="10">
                  <c:v>CU-40</c:v>
                </c:pt>
                <c:pt idx="11">
                  <c:v>CU-49</c:v>
                </c:pt>
                <c:pt idx="12">
                  <c:v>CU-50</c:v>
                </c:pt>
                <c:pt idx="13">
                  <c:v>CU-53</c:v>
                </c:pt>
                <c:pt idx="14">
                  <c:v>CU-56</c:v>
                </c:pt>
                <c:pt idx="15">
                  <c:v>CU-66</c:v>
                </c:pt>
                <c:pt idx="16">
                  <c:v>CU-67</c:v>
                </c:pt>
                <c:pt idx="17">
                  <c:v>CU-68</c:v>
                </c:pt>
                <c:pt idx="18">
                  <c:v>CU-69</c:v>
                </c:pt>
                <c:pt idx="19">
                  <c:v>CU-72</c:v>
                </c:pt>
                <c:pt idx="20">
                  <c:v>CU-73</c:v>
                </c:pt>
                <c:pt idx="21">
                  <c:v>CU-74</c:v>
                </c:pt>
                <c:pt idx="22">
                  <c:v>CU-77</c:v>
                </c:pt>
                <c:pt idx="23">
                  <c:v>CU-83</c:v>
                </c:pt>
                <c:pt idx="24">
                  <c:v>CU-84</c:v>
                </c:pt>
                <c:pt idx="25">
                  <c:v>CU-88</c:v>
                </c:pt>
                <c:pt idx="26">
                  <c:v>CU-89</c:v>
                </c:pt>
                <c:pt idx="27">
                  <c:v>CU-90</c:v>
                </c:pt>
                <c:pt idx="28">
                  <c:v>CU-91</c:v>
                </c:pt>
                <c:pt idx="29">
                  <c:v>CU-92</c:v>
                </c:pt>
                <c:pt idx="30">
                  <c:v>CU-93</c:v>
                </c:pt>
                <c:pt idx="31">
                  <c:v>CU-95</c:v>
                </c:pt>
                <c:pt idx="32">
                  <c:v>CU-96</c:v>
                </c:pt>
                <c:pt idx="33">
                  <c:v>CU-97</c:v>
                </c:pt>
                <c:pt idx="34">
                  <c:v>CU-98</c:v>
                </c:pt>
                <c:pt idx="35">
                  <c:v>CU-99</c:v>
                </c:pt>
                <c:pt idx="36">
                  <c:v>CU-100</c:v>
                </c:pt>
                <c:pt idx="37">
                  <c:v>CU-101</c:v>
                </c:pt>
                <c:pt idx="38">
                  <c:v>CU-105</c:v>
                </c:pt>
                <c:pt idx="39">
                  <c:v>CU-112</c:v>
                </c:pt>
                <c:pt idx="40">
                  <c:v>CU-113</c:v>
                </c:pt>
                <c:pt idx="41">
                  <c:v>CU-114</c:v>
                </c:pt>
                <c:pt idx="42">
                  <c:v>CU-115</c:v>
                </c:pt>
                <c:pt idx="43">
                  <c:v>CU-116</c:v>
                </c:pt>
                <c:pt idx="44">
                  <c:v>CU-117</c:v>
                </c:pt>
                <c:pt idx="45">
                  <c:v>CU-118</c:v>
                </c:pt>
                <c:pt idx="46">
                  <c:v>CU-128</c:v>
                </c:pt>
                <c:pt idx="47">
                  <c:v>CU-129</c:v>
                </c:pt>
                <c:pt idx="48">
                  <c:v>CU-130</c:v>
                </c:pt>
                <c:pt idx="49">
                  <c:v>CU-133</c:v>
                </c:pt>
              </c:strCache>
            </c:strRef>
          </c:cat>
          <c:val>
            <c:numRef>
              <c:f>'Iteración 1'!$D$2:$D$51</c:f>
              <c:numCache>
                <c:formatCode>General</c:formatCode>
                <c:ptCount val="50"/>
                <c:pt idx="0">
                  <c:v>2</c:v>
                </c:pt>
                <c:pt idx="1">
                  <c:v>0</c:v>
                </c:pt>
                <c:pt idx="2">
                  <c:v>4</c:v>
                </c:pt>
                <c:pt idx="3">
                  <c:v>2</c:v>
                </c:pt>
                <c:pt idx="4">
                  <c:v>3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3</c:v>
                </c:pt>
                <c:pt idx="12">
                  <c:v>3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  <c:pt idx="19">
                  <c:v>2</c:v>
                </c:pt>
                <c:pt idx="20">
                  <c:v>0</c:v>
                </c:pt>
                <c:pt idx="21">
                  <c:v>0</c:v>
                </c:pt>
                <c:pt idx="22">
                  <c:v>2</c:v>
                </c:pt>
                <c:pt idx="23">
                  <c:v>0</c:v>
                </c:pt>
                <c:pt idx="24">
                  <c:v>1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3</c:v>
                </c:pt>
                <c:pt idx="29">
                  <c:v>2</c:v>
                </c:pt>
                <c:pt idx="30">
                  <c:v>2</c:v>
                </c:pt>
                <c:pt idx="31">
                  <c:v>3</c:v>
                </c:pt>
                <c:pt idx="32">
                  <c:v>1</c:v>
                </c:pt>
                <c:pt idx="33">
                  <c:v>3</c:v>
                </c:pt>
                <c:pt idx="34">
                  <c:v>2</c:v>
                </c:pt>
                <c:pt idx="35">
                  <c:v>2</c:v>
                </c:pt>
                <c:pt idx="36">
                  <c:v>3</c:v>
                </c:pt>
                <c:pt idx="37">
                  <c:v>4</c:v>
                </c:pt>
                <c:pt idx="38">
                  <c:v>1</c:v>
                </c:pt>
                <c:pt idx="39">
                  <c:v>0</c:v>
                </c:pt>
                <c:pt idx="40">
                  <c:v>1</c:v>
                </c:pt>
                <c:pt idx="41">
                  <c:v>1</c:v>
                </c:pt>
                <c:pt idx="42">
                  <c:v>2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E2-48F8-B05A-7E480045A6DD}"/>
            </c:ext>
          </c:extLst>
        </c:ser>
        <c:ser>
          <c:idx val="1"/>
          <c:order val="1"/>
          <c:tx>
            <c:strRef>
              <c:f>'Iteración 1'!$E$1</c:f>
              <c:strCache>
                <c:ptCount val="1"/>
                <c:pt idx="0">
                  <c:v>Erróneos</c:v>
                </c:pt>
              </c:strCache>
            </c:strRef>
          </c:tx>
          <c:spPr>
            <a:solidFill>
              <a:srgbClr val="ED7D7D"/>
            </a:solidFill>
            <a:ln w="936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'Iteración 1'!$A$2:$A$51</c:f>
              <c:strCache>
                <c:ptCount val="50"/>
                <c:pt idx="0">
                  <c:v>CU-11</c:v>
                </c:pt>
                <c:pt idx="1">
                  <c:v>CU-13</c:v>
                </c:pt>
                <c:pt idx="2">
                  <c:v>CU-15</c:v>
                </c:pt>
                <c:pt idx="3">
                  <c:v>CU-16</c:v>
                </c:pt>
                <c:pt idx="4">
                  <c:v>CU-17</c:v>
                </c:pt>
                <c:pt idx="5">
                  <c:v>CU-18</c:v>
                </c:pt>
                <c:pt idx="6">
                  <c:v>CU-25</c:v>
                </c:pt>
                <c:pt idx="7">
                  <c:v>CU-32</c:v>
                </c:pt>
                <c:pt idx="8">
                  <c:v>CU-34</c:v>
                </c:pt>
                <c:pt idx="9">
                  <c:v>CU-39</c:v>
                </c:pt>
                <c:pt idx="10">
                  <c:v>CU-40</c:v>
                </c:pt>
                <c:pt idx="11">
                  <c:v>CU-49</c:v>
                </c:pt>
                <c:pt idx="12">
                  <c:v>CU-50</c:v>
                </c:pt>
                <c:pt idx="13">
                  <c:v>CU-53</c:v>
                </c:pt>
                <c:pt idx="14">
                  <c:v>CU-56</c:v>
                </c:pt>
                <c:pt idx="15">
                  <c:v>CU-66</c:v>
                </c:pt>
                <c:pt idx="16">
                  <c:v>CU-67</c:v>
                </c:pt>
                <c:pt idx="17">
                  <c:v>CU-68</c:v>
                </c:pt>
                <c:pt idx="18">
                  <c:v>CU-69</c:v>
                </c:pt>
                <c:pt idx="19">
                  <c:v>CU-72</c:v>
                </c:pt>
                <c:pt idx="20">
                  <c:v>CU-73</c:v>
                </c:pt>
                <c:pt idx="21">
                  <c:v>CU-74</c:v>
                </c:pt>
                <c:pt idx="22">
                  <c:v>CU-77</c:v>
                </c:pt>
                <c:pt idx="23">
                  <c:v>CU-83</c:v>
                </c:pt>
                <c:pt idx="24">
                  <c:v>CU-84</c:v>
                </c:pt>
                <c:pt idx="25">
                  <c:v>CU-88</c:v>
                </c:pt>
                <c:pt idx="26">
                  <c:v>CU-89</c:v>
                </c:pt>
                <c:pt idx="27">
                  <c:v>CU-90</c:v>
                </c:pt>
                <c:pt idx="28">
                  <c:v>CU-91</c:v>
                </c:pt>
                <c:pt idx="29">
                  <c:v>CU-92</c:v>
                </c:pt>
                <c:pt idx="30">
                  <c:v>CU-93</c:v>
                </c:pt>
                <c:pt idx="31">
                  <c:v>CU-95</c:v>
                </c:pt>
                <c:pt idx="32">
                  <c:v>CU-96</c:v>
                </c:pt>
                <c:pt idx="33">
                  <c:v>CU-97</c:v>
                </c:pt>
                <c:pt idx="34">
                  <c:v>CU-98</c:v>
                </c:pt>
                <c:pt idx="35">
                  <c:v>CU-99</c:v>
                </c:pt>
                <c:pt idx="36">
                  <c:v>CU-100</c:v>
                </c:pt>
                <c:pt idx="37">
                  <c:v>CU-101</c:v>
                </c:pt>
                <c:pt idx="38">
                  <c:v>CU-105</c:v>
                </c:pt>
                <c:pt idx="39">
                  <c:v>CU-112</c:v>
                </c:pt>
                <c:pt idx="40">
                  <c:v>CU-113</c:v>
                </c:pt>
                <c:pt idx="41">
                  <c:v>CU-114</c:v>
                </c:pt>
                <c:pt idx="42">
                  <c:v>CU-115</c:v>
                </c:pt>
                <c:pt idx="43">
                  <c:v>CU-116</c:v>
                </c:pt>
                <c:pt idx="44">
                  <c:v>CU-117</c:v>
                </c:pt>
                <c:pt idx="45">
                  <c:v>CU-118</c:v>
                </c:pt>
                <c:pt idx="46">
                  <c:v>CU-128</c:v>
                </c:pt>
                <c:pt idx="47">
                  <c:v>CU-129</c:v>
                </c:pt>
                <c:pt idx="48">
                  <c:v>CU-130</c:v>
                </c:pt>
                <c:pt idx="49">
                  <c:v>CU-133</c:v>
                </c:pt>
              </c:strCache>
            </c:strRef>
          </c:cat>
          <c:val>
            <c:numRef>
              <c:f>'Iteración 1'!$E$2:$E$51</c:f>
              <c:numCache>
                <c:formatCode>General</c:formatCode>
                <c:ptCount val="50"/>
                <c:pt idx="0">
                  <c:v>1</c:v>
                </c:pt>
                <c:pt idx="1">
                  <c:v>3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0</c:v>
                </c:pt>
                <c:pt idx="12">
                  <c:v>0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  <c:pt idx="19">
                  <c:v>1</c:v>
                </c:pt>
                <c:pt idx="20">
                  <c:v>2</c:v>
                </c:pt>
                <c:pt idx="21">
                  <c:v>3</c:v>
                </c:pt>
                <c:pt idx="22">
                  <c:v>1</c:v>
                </c:pt>
                <c:pt idx="23">
                  <c:v>4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1</c:v>
                </c:pt>
                <c:pt idx="28">
                  <c:v>0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2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2</c:v>
                </c:pt>
                <c:pt idx="39">
                  <c:v>3</c:v>
                </c:pt>
                <c:pt idx="40">
                  <c:v>3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1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E2-48F8-B05A-7E480045A6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081548"/>
        <c:axId val="78762596"/>
      </c:barChart>
      <c:catAx>
        <c:axId val="3008154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</a:rPr>
                  <a:t>Caso de Uso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78762596"/>
        <c:crosses val="autoZero"/>
        <c:auto val="1"/>
        <c:lblAlgn val="ctr"/>
        <c:lblOffset val="100"/>
        <c:noMultiLvlLbl val="0"/>
      </c:catAx>
      <c:valAx>
        <c:axId val="7876259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</a:rPr>
                  <a:t>Cantidad CP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30081548"/>
        <c:crosses val="autoZero"/>
        <c:crossBetween val="between"/>
        <c:majorUnit val="1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L" sz="1800" b="1" strike="noStrike" spc="-1">
                <a:solidFill>
                  <a:srgbClr val="000000"/>
                </a:solidFill>
                <a:latin typeface="Calibri"/>
              </a:rPr>
              <a:t>Casos de Prueba por CU — Iteración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'Iteración 2'!$D$1</c:f>
              <c:strCache>
                <c:ptCount val="1"/>
                <c:pt idx="0">
                  <c:v>Correctos</c:v>
                </c:pt>
              </c:strCache>
            </c:strRef>
          </c:tx>
          <c:spPr>
            <a:solidFill>
              <a:srgbClr val="4472C4"/>
            </a:solidFill>
            <a:ln w="936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'Iteración 2'!$A$2:$A$51</c:f>
              <c:strCache>
                <c:ptCount val="50"/>
                <c:pt idx="0">
                  <c:v>CU-11</c:v>
                </c:pt>
                <c:pt idx="1">
                  <c:v>CU-13</c:v>
                </c:pt>
                <c:pt idx="2">
                  <c:v>CU-15</c:v>
                </c:pt>
                <c:pt idx="3">
                  <c:v>CU-16</c:v>
                </c:pt>
                <c:pt idx="4">
                  <c:v>CU-17</c:v>
                </c:pt>
                <c:pt idx="5">
                  <c:v>CU-18</c:v>
                </c:pt>
                <c:pt idx="6">
                  <c:v>CU-25</c:v>
                </c:pt>
                <c:pt idx="7">
                  <c:v>CU-32</c:v>
                </c:pt>
                <c:pt idx="8">
                  <c:v>CU-34</c:v>
                </c:pt>
                <c:pt idx="9">
                  <c:v>CU-39</c:v>
                </c:pt>
                <c:pt idx="10">
                  <c:v>CU-40</c:v>
                </c:pt>
                <c:pt idx="11">
                  <c:v>CU-49</c:v>
                </c:pt>
                <c:pt idx="12">
                  <c:v>CU-50</c:v>
                </c:pt>
                <c:pt idx="13">
                  <c:v>CU-53</c:v>
                </c:pt>
                <c:pt idx="14">
                  <c:v>CU-56</c:v>
                </c:pt>
                <c:pt idx="15">
                  <c:v>CU-66</c:v>
                </c:pt>
                <c:pt idx="16">
                  <c:v>CU-67</c:v>
                </c:pt>
                <c:pt idx="17">
                  <c:v>CU-68</c:v>
                </c:pt>
                <c:pt idx="18">
                  <c:v>CU-69</c:v>
                </c:pt>
                <c:pt idx="19">
                  <c:v>CU-72</c:v>
                </c:pt>
                <c:pt idx="20">
                  <c:v>CU-73</c:v>
                </c:pt>
                <c:pt idx="21">
                  <c:v>CU-74</c:v>
                </c:pt>
                <c:pt idx="22">
                  <c:v>CU-77</c:v>
                </c:pt>
                <c:pt idx="23">
                  <c:v>CU-83</c:v>
                </c:pt>
                <c:pt idx="24">
                  <c:v>CU-84</c:v>
                </c:pt>
                <c:pt idx="25">
                  <c:v>CU-88</c:v>
                </c:pt>
                <c:pt idx="26">
                  <c:v>CU-89</c:v>
                </c:pt>
                <c:pt idx="27">
                  <c:v>CU-90</c:v>
                </c:pt>
                <c:pt idx="28">
                  <c:v>CU-91</c:v>
                </c:pt>
                <c:pt idx="29">
                  <c:v>CU-92</c:v>
                </c:pt>
                <c:pt idx="30">
                  <c:v>CU-93</c:v>
                </c:pt>
                <c:pt idx="31">
                  <c:v>CU-95</c:v>
                </c:pt>
                <c:pt idx="32">
                  <c:v>CU-96</c:v>
                </c:pt>
                <c:pt idx="33">
                  <c:v>CU-97</c:v>
                </c:pt>
                <c:pt idx="34">
                  <c:v>CU-98</c:v>
                </c:pt>
                <c:pt idx="35">
                  <c:v>CU-99</c:v>
                </c:pt>
                <c:pt idx="36">
                  <c:v>CU-100</c:v>
                </c:pt>
                <c:pt idx="37">
                  <c:v>CU-101</c:v>
                </c:pt>
                <c:pt idx="38">
                  <c:v>CU-105</c:v>
                </c:pt>
                <c:pt idx="39">
                  <c:v>CU-112</c:v>
                </c:pt>
                <c:pt idx="40">
                  <c:v>CU-113</c:v>
                </c:pt>
                <c:pt idx="41">
                  <c:v>CU-114</c:v>
                </c:pt>
                <c:pt idx="42">
                  <c:v>CU-115</c:v>
                </c:pt>
                <c:pt idx="43">
                  <c:v>CU-116</c:v>
                </c:pt>
                <c:pt idx="44">
                  <c:v>CU-117</c:v>
                </c:pt>
                <c:pt idx="45">
                  <c:v>CU-118</c:v>
                </c:pt>
                <c:pt idx="46">
                  <c:v>CU-128</c:v>
                </c:pt>
                <c:pt idx="47">
                  <c:v>CU-129</c:v>
                </c:pt>
                <c:pt idx="48">
                  <c:v>CU-130</c:v>
                </c:pt>
                <c:pt idx="49">
                  <c:v>CU-133</c:v>
                </c:pt>
              </c:strCache>
            </c:strRef>
          </c:cat>
          <c:val>
            <c:numRef>
              <c:f>'Iteración 2'!$D$2:$D$51</c:f>
              <c:numCache>
                <c:formatCode>General</c:formatCode>
                <c:ptCount val="50"/>
                <c:pt idx="0">
                  <c:v>3</c:v>
                </c:pt>
                <c:pt idx="1">
                  <c:v>3</c:v>
                </c:pt>
                <c:pt idx="2">
                  <c:v>4</c:v>
                </c:pt>
                <c:pt idx="3">
                  <c:v>2</c:v>
                </c:pt>
                <c:pt idx="4">
                  <c:v>3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3</c:v>
                </c:pt>
                <c:pt idx="12">
                  <c:v>3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3</c:v>
                </c:pt>
                <c:pt idx="18">
                  <c:v>3</c:v>
                </c:pt>
                <c:pt idx="19">
                  <c:v>2</c:v>
                </c:pt>
                <c:pt idx="20">
                  <c:v>1</c:v>
                </c:pt>
                <c:pt idx="21">
                  <c:v>2</c:v>
                </c:pt>
                <c:pt idx="22">
                  <c:v>1</c:v>
                </c:pt>
                <c:pt idx="23">
                  <c:v>2</c:v>
                </c:pt>
                <c:pt idx="24">
                  <c:v>1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4</c:v>
                </c:pt>
                <c:pt idx="34">
                  <c:v>3</c:v>
                </c:pt>
                <c:pt idx="35">
                  <c:v>2</c:v>
                </c:pt>
                <c:pt idx="36">
                  <c:v>3</c:v>
                </c:pt>
                <c:pt idx="37">
                  <c:v>4</c:v>
                </c:pt>
                <c:pt idx="38">
                  <c:v>1</c:v>
                </c:pt>
                <c:pt idx="39">
                  <c:v>0</c:v>
                </c:pt>
                <c:pt idx="40">
                  <c:v>4</c:v>
                </c:pt>
                <c:pt idx="41">
                  <c:v>1</c:v>
                </c:pt>
                <c:pt idx="42">
                  <c:v>4</c:v>
                </c:pt>
                <c:pt idx="43">
                  <c:v>2</c:v>
                </c:pt>
                <c:pt idx="44">
                  <c:v>2</c:v>
                </c:pt>
                <c:pt idx="45">
                  <c:v>1</c:v>
                </c:pt>
                <c:pt idx="46">
                  <c:v>2</c:v>
                </c:pt>
                <c:pt idx="47">
                  <c:v>2</c:v>
                </c:pt>
                <c:pt idx="48">
                  <c:v>1</c:v>
                </c:pt>
                <c:pt idx="4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4D-4255-9A3B-A016AE5FBCFC}"/>
            </c:ext>
          </c:extLst>
        </c:ser>
        <c:ser>
          <c:idx val="1"/>
          <c:order val="1"/>
          <c:tx>
            <c:strRef>
              <c:f>'Iteración 2'!$E$1</c:f>
              <c:strCache>
                <c:ptCount val="1"/>
                <c:pt idx="0">
                  <c:v>Erróneos</c:v>
                </c:pt>
              </c:strCache>
            </c:strRef>
          </c:tx>
          <c:spPr>
            <a:solidFill>
              <a:srgbClr val="ED7D7D"/>
            </a:solidFill>
            <a:ln w="936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'Iteración 2'!$A$2:$A$51</c:f>
              <c:strCache>
                <c:ptCount val="50"/>
                <c:pt idx="0">
                  <c:v>CU-11</c:v>
                </c:pt>
                <c:pt idx="1">
                  <c:v>CU-13</c:v>
                </c:pt>
                <c:pt idx="2">
                  <c:v>CU-15</c:v>
                </c:pt>
                <c:pt idx="3">
                  <c:v>CU-16</c:v>
                </c:pt>
                <c:pt idx="4">
                  <c:v>CU-17</c:v>
                </c:pt>
                <c:pt idx="5">
                  <c:v>CU-18</c:v>
                </c:pt>
                <c:pt idx="6">
                  <c:v>CU-25</c:v>
                </c:pt>
                <c:pt idx="7">
                  <c:v>CU-32</c:v>
                </c:pt>
                <c:pt idx="8">
                  <c:v>CU-34</c:v>
                </c:pt>
                <c:pt idx="9">
                  <c:v>CU-39</c:v>
                </c:pt>
                <c:pt idx="10">
                  <c:v>CU-40</c:v>
                </c:pt>
                <c:pt idx="11">
                  <c:v>CU-49</c:v>
                </c:pt>
                <c:pt idx="12">
                  <c:v>CU-50</c:v>
                </c:pt>
                <c:pt idx="13">
                  <c:v>CU-53</c:v>
                </c:pt>
                <c:pt idx="14">
                  <c:v>CU-56</c:v>
                </c:pt>
                <c:pt idx="15">
                  <c:v>CU-66</c:v>
                </c:pt>
                <c:pt idx="16">
                  <c:v>CU-67</c:v>
                </c:pt>
                <c:pt idx="17">
                  <c:v>CU-68</c:v>
                </c:pt>
                <c:pt idx="18">
                  <c:v>CU-69</c:v>
                </c:pt>
                <c:pt idx="19">
                  <c:v>CU-72</c:v>
                </c:pt>
                <c:pt idx="20">
                  <c:v>CU-73</c:v>
                </c:pt>
                <c:pt idx="21">
                  <c:v>CU-74</c:v>
                </c:pt>
                <c:pt idx="22">
                  <c:v>CU-77</c:v>
                </c:pt>
                <c:pt idx="23">
                  <c:v>CU-83</c:v>
                </c:pt>
                <c:pt idx="24">
                  <c:v>CU-84</c:v>
                </c:pt>
                <c:pt idx="25">
                  <c:v>CU-88</c:v>
                </c:pt>
                <c:pt idx="26">
                  <c:v>CU-89</c:v>
                </c:pt>
                <c:pt idx="27">
                  <c:v>CU-90</c:v>
                </c:pt>
                <c:pt idx="28">
                  <c:v>CU-91</c:v>
                </c:pt>
                <c:pt idx="29">
                  <c:v>CU-92</c:v>
                </c:pt>
                <c:pt idx="30">
                  <c:v>CU-93</c:v>
                </c:pt>
                <c:pt idx="31">
                  <c:v>CU-95</c:v>
                </c:pt>
                <c:pt idx="32">
                  <c:v>CU-96</c:v>
                </c:pt>
                <c:pt idx="33">
                  <c:v>CU-97</c:v>
                </c:pt>
                <c:pt idx="34">
                  <c:v>CU-98</c:v>
                </c:pt>
                <c:pt idx="35">
                  <c:v>CU-99</c:v>
                </c:pt>
                <c:pt idx="36">
                  <c:v>CU-100</c:v>
                </c:pt>
                <c:pt idx="37">
                  <c:v>CU-101</c:v>
                </c:pt>
                <c:pt idx="38">
                  <c:v>CU-105</c:v>
                </c:pt>
                <c:pt idx="39">
                  <c:v>CU-112</c:v>
                </c:pt>
                <c:pt idx="40">
                  <c:v>CU-113</c:v>
                </c:pt>
                <c:pt idx="41">
                  <c:v>CU-114</c:v>
                </c:pt>
                <c:pt idx="42">
                  <c:v>CU-115</c:v>
                </c:pt>
                <c:pt idx="43">
                  <c:v>CU-116</c:v>
                </c:pt>
                <c:pt idx="44">
                  <c:v>CU-117</c:v>
                </c:pt>
                <c:pt idx="45">
                  <c:v>CU-118</c:v>
                </c:pt>
                <c:pt idx="46">
                  <c:v>CU-128</c:v>
                </c:pt>
                <c:pt idx="47">
                  <c:v>CU-129</c:v>
                </c:pt>
                <c:pt idx="48">
                  <c:v>CU-130</c:v>
                </c:pt>
                <c:pt idx="49">
                  <c:v>CU-133</c:v>
                </c:pt>
              </c:strCache>
            </c:strRef>
          </c:cat>
          <c:val>
            <c:numRef>
              <c:f>'Iteración 2'!$E$2:$E$51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0</c:v>
                </c:pt>
                <c:pt idx="12">
                  <c:v>0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2</c:v>
                </c:pt>
                <c:pt idx="39">
                  <c:v>3</c:v>
                </c:pt>
                <c:pt idx="40">
                  <c:v>0</c:v>
                </c:pt>
                <c:pt idx="41">
                  <c:v>2</c:v>
                </c:pt>
                <c:pt idx="42">
                  <c:v>0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2</c:v>
                </c:pt>
                <c:pt idx="4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4D-4255-9A3B-A016AE5FBC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597841"/>
        <c:axId val="34512213"/>
      </c:barChart>
      <c:catAx>
        <c:axId val="4459784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</a:rPr>
                  <a:t>Caso de Uso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34512213"/>
        <c:crosses val="autoZero"/>
        <c:auto val="1"/>
        <c:lblAlgn val="ctr"/>
        <c:lblOffset val="100"/>
        <c:noMultiLvlLbl val="0"/>
      </c:catAx>
      <c:valAx>
        <c:axId val="3451221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</a:rPr>
                  <a:t>Cantidad CP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44597841"/>
        <c:crosses val="autoZero"/>
        <c:crossBetween val="between"/>
        <c:majorUnit val="1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L" sz="1800" b="1" strike="noStrike" spc="-1">
                <a:solidFill>
                  <a:srgbClr val="000000"/>
                </a:solidFill>
                <a:latin typeface="Calibri"/>
              </a:rPr>
              <a:t>Casos de Prueba por CU — Iteración 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'Iteración 3'!$D$1</c:f>
              <c:strCache>
                <c:ptCount val="1"/>
                <c:pt idx="0">
                  <c:v>Correctos</c:v>
                </c:pt>
              </c:strCache>
            </c:strRef>
          </c:tx>
          <c:spPr>
            <a:solidFill>
              <a:srgbClr val="4472C4"/>
            </a:solidFill>
            <a:ln w="936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'Iteración 3'!$A$2:$A$51</c:f>
              <c:strCache>
                <c:ptCount val="50"/>
                <c:pt idx="0">
                  <c:v>CU-11</c:v>
                </c:pt>
                <c:pt idx="1">
                  <c:v>CU-13</c:v>
                </c:pt>
                <c:pt idx="2">
                  <c:v>CU-15</c:v>
                </c:pt>
                <c:pt idx="3">
                  <c:v>CU-16</c:v>
                </c:pt>
                <c:pt idx="4">
                  <c:v>CU-17</c:v>
                </c:pt>
                <c:pt idx="5">
                  <c:v>CU-18</c:v>
                </c:pt>
                <c:pt idx="6">
                  <c:v>CU-25</c:v>
                </c:pt>
                <c:pt idx="7">
                  <c:v>CU-32</c:v>
                </c:pt>
                <c:pt idx="8">
                  <c:v>CU-34</c:v>
                </c:pt>
                <c:pt idx="9">
                  <c:v>CU-39</c:v>
                </c:pt>
                <c:pt idx="10">
                  <c:v>CU-40</c:v>
                </c:pt>
                <c:pt idx="11">
                  <c:v>CU-49</c:v>
                </c:pt>
                <c:pt idx="12">
                  <c:v>CU-50</c:v>
                </c:pt>
                <c:pt idx="13">
                  <c:v>CU-53</c:v>
                </c:pt>
                <c:pt idx="14">
                  <c:v>CU-56</c:v>
                </c:pt>
                <c:pt idx="15">
                  <c:v>CU-66</c:v>
                </c:pt>
                <c:pt idx="16">
                  <c:v>CU-67</c:v>
                </c:pt>
                <c:pt idx="17">
                  <c:v>CU-68</c:v>
                </c:pt>
                <c:pt idx="18">
                  <c:v>CU-69</c:v>
                </c:pt>
                <c:pt idx="19">
                  <c:v>CU-72</c:v>
                </c:pt>
                <c:pt idx="20">
                  <c:v>CU-73</c:v>
                </c:pt>
                <c:pt idx="21">
                  <c:v>CU-74</c:v>
                </c:pt>
                <c:pt idx="22">
                  <c:v>CU-77</c:v>
                </c:pt>
                <c:pt idx="23">
                  <c:v>CU-83</c:v>
                </c:pt>
                <c:pt idx="24">
                  <c:v>CU-84</c:v>
                </c:pt>
                <c:pt idx="25">
                  <c:v>CU-88</c:v>
                </c:pt>
                <c:pt idx="26">
                  <c:v>CU-89</c:v>
                </c:pt>
                <c:pt idx="27">
                  <c:v>CU-90</c:v>
                </c:pt>
                <c:pt idx="28">
                  <c:v>CU-91</c:v>
                </c:pt>
                <c:pt idx="29">
                  <c:v>CU-92</c:v>
                </c:pt>
                <c:pt idx="30">
                  <c:v>CU-93</c:v>
                </c:pt>
                <c:pt idx="31">
                  <c:v>CU-95</c:v>
                </c:pt>
                <c:pt idx="32">
                  <c:v>CU-96</c:v>
                </c:pt>
                <c:pt idx="33">
                  <c:v>CU-97</c:v>
                </c:pt>
                <c:pt idx="34">
                  <c:v>CU-98</c:v>
                </c:pt>
                <c:pt idx="35">
                  <c:v>CU-99</c:v>
                </c:pt>
                <c:pt idx="36">
                  <c:v>CU-100</c:v>
                </c:pt>
                <c:pt idx="37">
                  <c:v>CU-101</c:v>
                </c:pt>
                <c:pt idx="38">
                  <c:v>CU-105</c:v>
                </c:pt>
                <c:pt idx="39">
                  <c:v>CU-112</c:v>
                </c:pt>
                <c:pt idx="40">
                  <c:v>CU-113</c:v>
                </c:pt>
                <c:pt idx="41">
                  <c:v>CU-114</c:v>
                </c:pt>
                <c:pt idx="42">
                  <c:v>CU-115</c:v>
                </c:pt>
                <c:pt idx="43">
                  <c:v>CU-116</c:v>
                </c:pt>
                <c:pt idx="44">
                  <c:v>CU-117</c:v>
                </c:pt>
                <c:pt idx="45">
                  <c:v>CU-118</c:v>
                </c:pt>
                <c:pt idx="46">
                  <c:v>CU-128</c:v>
                </c:pt>
                <c:pt idx="47">
                  <c:v>CU-129</c:v>
                </c:pt>
                <c:pt idx="48">
                  <c:v>CU-130</c:v>
                </c:pt>
                <c:pt idx="49">
                  <c:v>CU-133</c:v>
                </c:pt>
              </c:strCache>
            </c:strRef>
          </c:cat>
          <c:val>
            <c:numRef>
              <c:f>'Iteración 3'!$D$2:$D$51</c:f>
              <c:numCache>
                <c:formatCode>General</c:formatCode>
                <c:ptCount val="50"/>
                <c:pt idx="0">
                  <c:v>3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2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2</c:v>
                </c:pt>
                <c:pt idx="21">
                  <c:v>3</c:v>
                </c:pt>
                <c:pt idx="22">
                  <c:v>3</c:v>
                </c:pt>
                <c:pt idx="23">
                  <c:v>4</c:v>
                </c:pt>
                <c:pt idx="24">
                  <c:v>3</c:v>
                </c:pt>
                <c:pt idx="25">
                  <c:v>4</c:v>
                </c:pt>
                <c:pt idx="26">
                  <c:v>4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4</c:v>
                </c:pt>
                <c:pt idx="32">
                  <c:v>3</c:v>
                </c:pt>
                <c:pt idx="33">
                  <c:v>4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4</c:v>
                </c:pt>
                <c:pt idx="38">
                  <c:v>1</c:v>
                </c:pt>
                <c:pt idx="39">
                  <c:v>1</c:v>
                </c:pt>
                <c:pt idx="40">
                  <c:v>4</c:v>
                </c:pt>
                <c:pt idx="41">
                  <c:v>3</c:v>
                </c:pt>
                <c:pt idx="42">
                  <c:v>4</c:v>
                </c:pt>
                <c:pt idx="43">
                  <c:v>3</c:v>
                </c:pt>
                <c:pt idx="44">
                  <c:v>3</c:v>
                </c:pt>
                <c:pt idx="45">
                  <c:v>2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96-43F8-9008-D09CAB3B2F66}"/>
            </c:ext>
          </c:extLst>
        </c:ser>
        <c:ser>
          <c:idx val="1"/>
          <c:order val="1"/>
          <c:tx>
            <c:strRef>
              <c:f>'Iteración 3'!$E$1</c:f>
              <c:strCache>
                <c:ptCount val="1"/>
                <c:pt idx="0">
                  <c:v>Erróneos</c:v>
                </c:pt>
              </c:strCache>
            </c:strRef>
          </c:tx>
          <c:spPr>
            <a:solidFill>
              <a:srgbClr val="ED7D7D"/>
            </a:solidFill>
            <a:ln w="936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'Iteración 3'!$A$2:$A$51</c:f>
              <c:strCache>
                <c:ptCount val="50"/>
                <c:pt idx="0">
                  <c:v>CU-11</c:v>
                </c:pt>
                <c:pt idx="1">
                  <c:v>CU-13</c:v>
                </c:pt>
                <c:pt idx="2">
                  <c:v>CU-15</c:v>
                </c:pt>
                <c:pt idx="3">
                  <c:v>CU-16</c:v>
                </c:pt>
                <c:pt idx="4">
                  <c:v>CU-17</c:v>
                </c:pt>
                <c:pt idx="5">
                  <c:v>CU-18</c:v>
                </c:pt>
                <c:pt idx="6">
                  <c:v>CU-25</c:v>
                </c:pt>
                <c:pt idx="7">
                  <c:v>CU-32</c:v>
                </c:pt>
                <c:pt idx="8">
                  <c:v>CU-34</c:v>
                </c:pt>
                <c:pt idx="9">
                  <c:v>CU-39</c:v>
                </c:pt>
                <c:pt idx="10">
                  <c:v>CU-40</c:v>
                </c:pt>
                <c:pt idx="11">
                  <c:v>CU-49</c:v>
                </c:pt>
                <c:pt idx="12">
                  <c:v>CU-50</c:v>
                </c:pt>
                <c:pt idx="13">
                  <c:v>CU-53</c:v>
                </c:pt>
                <c:pt idx="14">
                  <c:v>CU-56</c:v>
                </c:pt>
                <c:pt idx="15">
                  <c:v>CU-66</c:v>
                </c:pt>
                <c:pt idx="16">
                  <c:v>CU-67</c:v>
                </c:pt>
                <c:pt idx="17">
                  <c:v>CU-68</c:v>
                </c:pt>
                <c:pt idx="18">
                  <c:v>CU-69</c:v>
                </c:pt>
                <c:pt idx="19">
                  <c:v>CU-72</c:v>
                </c:pt>
                <c:pt idx="20">
                  <c:v>CU-73</c:v>
                </c:pt>
                <c:pt idx="21">
                  <c:v>CU-74</c:v>
                </c:pt>
                <c:pt idx="22">
                  <c:v>CU-77</c:v>
                </c:pt>
                <c:pt idx="23">
                  <c:v>CU-83</c:v>
                </c:pt>
                <c:pt idx="24">
                  <c:v>CU-84</c:v>
                </c:pt>
                <c:pt idx="25">
                  <c:v>CU-88</c:v>
                </c:pt>
                <c:pt idx="26">
                  <c:v>CU-89</c:v>
                </c:pt>
                <c:pt idx="27">
                  <c:v>CU-90</c:v>
                </c:pt>
                <c:pt idx="28">
                  <c:v>CU-91</c:v>
                </c:pt>
                <c:pt idx="29">
                  <c:v>CU-92</c:v>
                </c:pt>
                <c:pt idx="30">
                  <c:v>CU-93</c:v>
                </c:pt>
                <c:pt idx="31">
                  <c:v>CU-95</c:v>
                </c:pt>
                <c:pt idx="32">
                  <c:v>CU-96</c:v>
                </c:pt>
                <c:pt idx="33">
                  <c:v>CU-97</c:v>
                </c:pt>
                <c:pt idx="34">
                  <c:v>CU-98</c:v>
                </c:pt>
                <c:pt idx="35">
                  <c:v>CU-99</c:v>
                </c:pt>
                <c:pt idx="36">
                  <c:v>CU-100</c:v>
                </c:pt>
                <c:pt idx="37">
                  <c:v>CU-101</c:v>
                </c:pt>
                <c:pt idx="38">
                  <c:v>CU-105</c:v>
                </c:pt>
                <c:pt idx="39">
                  <c:v>CU-112</c:v>
                </c:pt>
                <c:pt idx="40">
                  <c:v>CU-113</c:v>
                </c:pt>
                <c:pt idx="41">
                  <c:v>CU-114</c:v>
                </c:pt>
                <c:pt idx="42">
                  <c:v>CU-115</c:v>
                </c:pt>
                <c:pt idx="43">
                  <c:v>CU-116</c:v>
                </c:pt>
                <c:pt idx="44">
                  <c:v>CU-117</c:v>
                </c:pt>
                <c:pt idx="45">
                  <c:v>CU-118</c:v>
                </c:pt>
                <c:pt idx="46">
                  <c:v>CU-128</c:v>
                </c:pt>
                <c:pt idx="47">
                  <c:v>CU-129</c:v>
                </c:pt>
                <c:pt idx="48">
                  <c:v>CU-130</c:v>
                </c:pt>
                <c:pt idx="49">
                  <c:v>CU-133</c:v>
                </c:pt>
              </c:strCache>
            </c:strRef>
          </c:cat>
          <c:val>
            <c:numRef>
              <c:f>'Iteración 3'!$E$2:$E$51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2</c:v>
                </c:pt>
                <c:pt idx="39">
                  <c:v>2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96-43F8-9008-D09CAB3B2F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587734"/>
        <c:axId val="96470104"/>
      </c:barChart>
      <c:catAx>
        <c:axId val="5458773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</a:rPr>
                  <a:t>Caso de Uso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96470104"/>
        <c:crosses val="autoZero"/>
        <c:auto val="1"/>
        <c:lblAlgn val="ctr"/>
        <c:lblOffset val="100"/>
        <c:noMultiLvlLbl val="0"/>
      </c:catAx>
      <c:valAx>
        <c:axId val="9647010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</a:rPr>
                  <a:t>Cantidad CP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54587734"/>
        <c:crosses val="autoZero"/>
        <c:crossBetween val="between"/>
        <c:majorUnit val="1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L" sz="1800" b="1" strike="noStrike" spc="-1">
                <a:solidFill>
                  <a:srgbClr val="000000"/>
                </a:solidFill>
                <a:latin typeface="Calibri"/>
              </a:rPr>
              <a:t>Resultado Pruebas de Caja Negra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Comparativo!$B$1</c:f>
              <c:strCache>
                <c:ptCount val="1"/>
                <c:pt idx="0">
                  <c:v>CP Correcto</c:v>
                </c:pt>
              </c:strCache>
            </c:strRef>
          </c:tx>
          <c:spPr>
            <a:solidFill>
              <a:srgbClr val="4472C4"/>
            </a:solidFill>
            <a:ln w="936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CL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Comparativo!$A$2:$A$4</c:f>
              <c:strCache>
                <c:ptCount val="3"/>
                <c:pt idx="0">
                  <c:v>Iteración 1</c:v>
                </c:pt>
                <c:pt idx="1">
                  <c:v>Iteración 2</c:v>
                </c:pt>
                <c:pt idx="2">
                  <c:v>Iteración 3</c:v>
                </c:pt>
              </c:strCache>
            </c:strRef>
          </c:cat>
          <c:val>
            <c:numRef>
              <c:f>Comparativo!$B$2:$B$4</c:f>
              <c:numCache>
                <c:formatCode>General</c:formatCode>
                <c:ptCount val="3"/>
                <c:pt idx="0">
                  <c:v>80</c:v>
                </c:pt>
                <c:pt idx="1">
                  <c:v>107</c:v>
                </c:pt>
                <c:pt idx="2">
                  <c:v>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10-4E6F-8F4E-EDFDF2E345F8}"/>
            </c:ext>
          </c:extLst>
        </c:ser>
        <c:ser>
          <c:idx val="1"/>
          <c:order val="1"/>
          <c:tx>
            <c:strRef>
              <c:f>Comparativo!$C$1</c:f>
              <c:strCache>
                <c:ptCount val="1"/>
                <c:pt idx="0">
                  <c:v>CP Erróneo</c:v>
                </c:pt>
              </c:strCache>
            </c:strRef>
          </c:tx>
          <c:spPr>
            <a:solidFill>
              <a:srgbClr val="B4C7E7"/>
            </a:solidFill>
            <a:ln w="9360">
              <a:noFill/>
            </a:ln>
          </c:spPr>
          <c:invertIfNegative val="0"/>
          <c:dLbls>
            <c:dLbl>
              <c:idx val="0"/>
              <c:layout>
                <c:manualLayout>
                  <c:x val="6.5900620952730693E-2"/>
                  <c:y val="0.10473744886833197"/>
                </c:manualLayout>
              </c:layout>
              <c:tx>
                <c:rich>
                  <a:bodyPr/>
                  <a:lstStyle/>
                  <a:p>
                    <a:fld id="{F07FE1CC-E895-4DAB-BB9C-206CA684665F}" type="SERIESNAME">
                      <a:rPr lang="en-US"/>
                      <a:pPr/>
                      <a:t>[SERIES NAME]</a:t>
                    </a:fld>
                    <a:r>
                      <a:rPr lang="en-US" baseline="0"/>
                      <a:t>; </a:t>
                    </a:r>
                    <a:br>
                      <a:rPr lang="en-US" baseline="0"/>
                    </a:br>
                    <a:fld id="{19172D6C-85A1-4C14-950C-C9A46DCE3575}" type="CATEGORYNAME">
                      <a:rPr lang="en-US" baseline="0"/>
                      <a:pPr/>
                      <a:t>[CATEGORY NAME]</a:t>
                    </a:fld>
                    <a:r>
                      <a:rPr lang="en-US" baseline="0"/>
                      <a:t>; </a:t>
                    </a:r>
                    <a:fld id="{63E5C90C-3207-4CC7-ADA4-9A5C612723BB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173358506733086"/>
                      <c:h val="9.3062066379148697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E610-4E6F-8F4E-EDFDF2E345F8}"/>
                </c:ext>
              </c:extLst>
            </c:dLbl>
            <c:dLbl>
              <c:idx val="1"/>
              <c:layout>
                <c:manualLayout>
                  <c:x val="3.6329859350946667E-2"/>
                  <c:y val="-8.8200825051565727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CL"/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0212803042096258"/>
                      <c:h val="6.880707822016653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E610-4E6F-8F4E-EDFDF2E345F8}"/>
                </c:ext>
              </c:extLst>
            </c:dLbl>
            <c:dLbl>
              <c:idx val="2"/>
              <c:layout>
                <c:manualLayout>
                  <c:x val="7.0969827844281505E-2"/>
                  <c:y val="-2.2049989235438327E-3"/>
                </c:manualLayout>
              </c:layout>
              <c:dLblPos val="outEnd"/>
              <c:showLegendKey val="1"/>
              <c:showVal val="1"/>
              <c:showCatName val="1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610-4E6F-8F4E-EDFDF2E345F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CL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Comparativo!$A$2:$A$4</c:f>
              <c:strCache>
                <c:ptCount val="3"/>
                <c:pt idx="0">
                  <c:v>Iteración 1</c:v>
                </c:pt>
                <c:pt idx="1">
                  <c:v>Iteración 2</c:v>
                </c:pt>
                <c:pt idx="2">
                  <c:v>Iteración 3</c:v>
                </c:pt>
              </c:strCache>
            </c:strRef>
          </c:cat>
          <c:val>
            <c:numRef>
              <c:f>Comparativo!$C$2:$C$4</c:f>
              <c:numCache>
                <c:formatCode>General</c:formatCode>
                <c:ptCount val="3"/>
                <c:pt idx="0">
                  <c:v>78</c:v>
                </c:pt>
                <c:pt idx="1">
                  <c:v>51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10-4E6F-8F4E-EDFDF2E345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561884"/>
        <c:axId val="98918658"/>
      </c:barChart>
      <c:catAx>
        <c:axId val="7056188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</a:rPr>
                  <a:t>Iteración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98918658"/>
        <c:crosses val="autoZero"/>
        <c:auto val="1"/>
        <c:lblAlgn val="ctr"/>
        <c:lblOffset val="100"/>
        <c:noMultiLvlLbl val="0"/>
      </c:catAx>
      <c:valAx>
        <c:axId val="9891865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</a:rPr>
                  <a:t>Casos de Prueba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7056188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53</xdr:row>
      <xdr:rowOff>0</xdr:rowOff>
    </xdr:from>
    <xdr:to>
      <xdr:col>14</xdr:col>
      <xdr:colOff>1800</xdr:colOff>
      <xdr:row>83</xdr:row>
      <xdr:rowOff>44640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53</xdr:row>
      <xdr:rowOff>0</xdr:rowOff>
    </xdr:from>
    <xdr:to>
      <xdr:col>14</xdr:col>
      <xdr:colOff>1800</xdr:colOff>
      <xdr:row>83</xdr:row>
      <xdr:rowOff>44640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53</xdr:row>
      <xdr:rowOff>0</xdr:rowOff>
    </xdr:from>
    <xdr:to>
      <xdr:col>14</xdr:col>
      <xdr:colOff>1800</xdr:colOff>
      <xdr:row>83</xdr:row>
      <xdr:rowOff>44640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11</xdr:col>
      <xdr:colOff>67320</xdr:colOff>
      <xdr:row>36</xdr:row>
      <xdr:rowOff>44640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"/>
  <sheetViews>
    <sheetView topLeftCell="A47" zoomScaleNormal="100" workbookViewId="0"/>
  </sheetViews>
  <sheetFormatPr defaultColWidth="8.7109375" defaultRowHeight="15" x14ac:dyDescent="0.25"/>
  <cols>
    <col min="1" max="1" width="10" customWidth="1"/>
    <col min="2" max="2" width="50" customWidth="1"/>
    <col min="3" max="3" width="8" customWidth="1"/>
    <col min="4" max="6" width="12" customWidth="1"/>
    <col min="8" max="8" width="22" customWidth="1"/>
    <col min="9" max="9" width="16" customWidth="1"/>
  </cols>
  <sheetData>
    <row r="1" spans="1:9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1" t="s">
        <v>6</v>
      </c>
      <c r="I1" s="11"/>
    </row>
    <row r="2" spans="1:9" ht="17.25" customHeight="1" x14ac:dyDescent="0.25">
      <c r="A2" s="2" t="s">
        <v>7</v>
      </c>
      <c r="B2" s="3" t="s">
        <v>8</v>
      </c>
      <c r="C2" s="4">
        <v>3</v>
      </c>
      <c r="D2" s="4">
        <v>2</v>
      </c>
      <c r="E2" s="5">
        <v>1</v>
      </c>
      <c r="F2" s="4">
        <v>1</v>
      </c>
      <c r="H2" s="6" t="s">
        <v>9</v>
      </c>
      <c r="I2" s="7">
        <f>SUM(D2:D500)</f>
        <v>80</v>
      </c>
    </row>
    <row r="3" spans="1:9" ht="17.25" customHeight="1" x14ac:dyDescent="0.25">
      <c r="A3" s="2" t="s">
        <v>10</v>
      </c>
      <c r="B3" s="3" t="s">
        <v>11</v>
      </c>
      <c r="C3" s="4">
        <v>3</v>
      </c>
      <c r="D3" s="4">
        <v>0</v>
      </c>
      <c r="E3" s="5">
        <v>3</v>
      </c>
      <c r="F3" s="4">
        <v>1</v>
      </c>
      <c r="H3" s="6" t="s">
        <v>12</v>
      </c>
      <c r="I3" s="7">
        <f>SUM(E2:E500)</f>
        <v>78</v>
      </c>
    </row>
    <row r="4" spans="1:9" ht="17.25" customHeight="1" x14ac:dyDescent="0.25">
      <c r="A4" s="2" t="s">
        <v>13</v>
      </c>
      <c r="B4" s="3" t="s">
        <v>14</v>
      </c>
      <c r="C4" s="4">
        <v>4</v>
      </c>
      <c r="D4" s="8">
        <v>4</v>
      </c>
      <c r="E4" s="4">
        <v>0</v>
      </c>
      <c r="F4" s="4">
        <v>1</v>
      </c>
      <c r="H4" s="6" t="s">
        <v>15</v>
      </c>
      <c r="I4" s="9">
        <f>IFERROR(SUM(D2:D500)/SUM(C2:C500),0)</f>
        <v>0.50632911392405067</v>
      </c>
    </row>
    <row r="5" spans="1:9" ht="17.25" customHeight="1" x14ac:dyDescent="0.25">
      <c r="A5" s="2" t="s">
        <v>16</v>
      </c>
      <c r="B5" s="3" t="s">
        <v>17</v>
      </c>
      <c r="C5" s="4">
        <v>3</v>
      </c>
      <c r="D5" s="4">
        <v>2</v>
      </c>
      <c r="E5" s="5">
        <v>1</v>
      </c>
      <c r="F5" s="4">
        <v>1</v>
      </c>
      <c r="H5" s="6" t="s">
        <v>18</v>
      </c>
      <c r="I5" s="10">
        <f>IFERROR(SUM(E2:E500)/SUM(C2:C500),0)</f>
        <v>0.49367088607594939</v>
      </c>
    </row>
    <row r="6" spans="1:9" ht="17.25" customHeight="1" x14ac:dyDescent="0.25">
      <c r="A6" s="2" t="s">
        <v>19</v>
      </c>
      <c r="B6" s="3" t="s">
        <v>20</v>
      </c>
      <c r="C6" s="4">
        <v>3</v>
      </c>
      <c r="D6" s="8">
        <v>3</v>
      </c>
      <c r="E6" s="4">
        <v>0</v>
      </c>
      <c r="F6" s="4">
        <v>1</v>
      </c>
    </row>
    <row r="7" spans="1:9" ht="15" customHeight="1" x14ac:dyDescent="0.25">
      <c r="A7" s="2" t="s">
        <v>21</v>
      </c>
      <c r="B7" s="3" t="s">
        <v>22</v>
      </c>
      <c r="C7" s="4">
        <v>3</v>
      </c>
      <c r="D7" s="4">
        <v>1</v>
      </c>
      <c r="E7" s="5">
        <v>2</v>
      </c>
      <c r="F7" s="4">
        <v>1</v>
      </c>
    </row>
    <row r="8" spans="1:9" ht="15" customHeight="1" x14ac:dyDescent="0.25">
      <c r="A8" s="2" t="s">
        <v>23</v>
      </c>
      <c r="B8" s="3" t="s">
        <v>24</v>
      </c>
      <c r="C8" s="4">
        <v>4</v>
      </c>
      <c r="D8" s="4">
        <v>3</v>
      </c>
      <c r="E8" s="5">
        <v>1</v>
      </c>
      <c r="F8" s="4">
        <v>1</v>
      </c>
    </row>
    <row r="9" spans="1:9" ht="15" customHeight="1" x14ac:dyDescent="0.25">
      <c r="A9" s="2" t="s">
        <v>25</v>
      </c>
      <c r="B9" s="3" t="s">
        <v>26</v>
      </c>
      <c r="C9" s="4">
        <v>4</v>
      </c>
      <c r="D9" s="4">
        <v>1</v>
      </c>
      <c r="E9" s="5">
        <v>3</v>
      </c>
      <c r="F9" s="4">
        <v>1</v>
      </c>
    </row>
    <row r="10" spans="1:9" ht="15" customHeight="1" x14ac:dyDescent="0.25">
      <c r="A10" s="2" t="s">
        <v>27</v>
      </c>
      <c r="B10" s="3" t="s">
        <v>28</v>
      </c>
      <c r="C10" s="4">
        <v>3</v>
      </c>
      <c r="D10" s="4">
        <v>1</v>
      </c>
      <c r="E10" s="5">
        <v>2</v>
      </c>
      <c r="F10" s="4">
        <v>1</v>
      </c>
    </row>
    <row r="11" spans="1:9" ht="15" customHeight="1" x14ac:dyDescent="0.25">
      <c r="A11" s="2" t="s">
        <v>29</v>
      </c>
      <c r="B11" s="3" t="s">
        <v>30</v>
      </c>
      <c r="C11" s="4">
        <v>3</v>
      </c>
      <c r="D11" s="4">
        <v>1</v>
      </c>
      <c r="E11" s="5">
        <v>2</v>
      </c>
      <c r="F11" s="4">
        <v>1</v>
      </c>
    </row>
    <row r="12" spans="1:9" ht="15" customHeight="1" x14ac:dyDescent="0.25">
      <c r="A12" s="2" t="s">
        <v>31</v>
      </c>
      <c r="B12" s="3" t="s">
        <v>32</v>
      </c>
      <c r="C12" s="4">
        <v>3</v>
      </c>
      <c r="D12" s="4">
        <v>0</v>
      </c>
      <c r="E12" s="5">
        <v>3</v>
      </c>
      <c r="F12" s="4">
        <v>1</v>
      </c>
    </row>
    <row r="13" spans="1:9" ht="15" customHeight="1" x14ac:dyDescent="0.25">
      <c r="A13" s="2" t="s">
        <v>33</v>
      </c>
      <c r="B13" s="3" t="s">
        <v>34</v>
      </c>
      <c r="C13" s="4">
        <v>3</v>
      </c>
      <c r="D13" s="8">
        <v>3</v>
      </c>
      <c r="E13" s="4">
        <v>0</v>
      </c>
      <c r="F13" s="4">
        <v>1</v>
      </c>
    </row>
    <row r="14" spans="1:9" ht="15" customHeight="1" x14ac:dyDescent="0.25">
      <c r="A14" s="2" t="s">
        <v>35</v>
      </c>
      <c r="B14" s="3" t="s">
        <v>36</v>
      </c>
      <c r="C14" s="4">
        <v>3</v>
      </c>
      <c r="D14" s="8">
        <v>3</v>
      </c>
      <c r="E14" s="4">
        <v>0</v>
      </c>
      <c r="F14" s="4">
        <v>1</v>
      </c>
    </row>
    <row r="15" spans="1:9" ht="15" customHeight="1" x14ac:dyDescent="0.25">
      <c r="A15" s="2" t="s">
        <v>37</v>
      </c>
      <c r="B15" s="3" t="s">
        <v>38</v>
      </c>
      <c r="C15" s="4">
        <v>3</v>
      </c>
      <c r="D15" s="4">
        <v>1</v>
      </c>
      <c r="E15" s="5">
        <v>2</v>
      </c>
      <c r="F15" s="4">
        <v>1</v>
      </c>
    </row>
    <row r="16" spans="1:9" ht="15" customHeight="1" x14ac:dyDescent="0.25">
      <c r="A16" s="2" t="s">
        <v>39</v>
      </c>
      <c r="B16" s="3" t="s">
        <v>40</v>
      </c>
      <c r="C16" s="4">
        <v>3</v>
      </c>
      <c r="D16" s="4">
        <v>1</v>
      </c>
      <c r="E16" s="5">
        <v>2</v>
      </c>
      <c r="F16" s="4">
        <v>1</v>
      </c>
    </row>
    <row r="17" spans="1:6" ht="15" customHeight="1" x14ac:dyDescent="0.25">
      <c r="A17" s="2" t="s">
        <v>41</v>
      </c>
      <c r="B17" s="3" t="s">
        <v>42</v>
      </c>
      <c r="C17" s="4">
        <v>2</v>
      </c>
      <c r="D17" s="4">
        <v>1</v>
      </c>
      <c r="E17" s="5">
        <v>1</v>
      </c>
      <c r="F17" s="4">
        <v>1</v>
      </c>
    </row>
    <row r="18" spans="1:6" ht="15" customHeight="1" x14ac:dyDescent="0.25">
      <c r="A18" s="2" t="s">
        <v>43</v>
      </c>
      <c r="B18" s="3" t="s">
        <v>44</v>
      </c>
      <c r="C18" s="4">
        <v>3</v>
      </c>
      <c r="D18" s="4">
        <v>2</v>
      </c>
      <c r="E18" s="5">
        <v>1</v>
      </c>
      <c r="F18" s="4">
        <v>1</v>
      </c>
    </row>
    <row r="19" spans="1:6" ht="15" customHeight="1" x14ac:dyDescent="0.25">
      <c r="A19" s="2" t="s">
        <v>45</v>
      </c>
      <c r="B19" s="3" t="s">
        <v>46</v>
      </c>
      <c r="C19" s="4">
        <v>3</v>
      </c>
      <c r="D19" s="4">
        <v>2</v>
      </c>
      <c r="E19" s="5">
        <v>1</v>
      </c>
      <c r="F19" s="4">
        <v>1</v>
      </c>
    </row>
    <row r="20" spans="1:6" ht="15" customHeight="1" x14ac:dyDescent="0.25">
      <c r="A20" s="2" t="s">
        <v>47</v>
      </c>
      <c r="B20" s="3" t="s">
        <v>48</v>
      </c>
      <c r="C20" s="4">
        <v>3</v>
      </c>
      <c r="D20" s="4">
        <v>1</v>
      </c>
      <c r="E20" s="5">
        <v>2</v>
      </c>
      <c r="F20" s="4">
        <v>1</v>
      </c>
    </row>
    <row r="21" spans="1:6" ht="15" customHeight="1" x14ac:dyDescent="0.25">
      <c r="A21" s="2" t="s">
        <v>49</v>
      </c>
      <c r="B21" s="3" t="s">
        <v>50</v>
      </c>
      <c r="C21" s="4">
        <v>3</v>
      </c>
      <c r="D21" s="4">
        <v>2</v>
      </c>
      <c r="E21" s="5">
        <v>1</v>
      </c>
      <c r="F21" s="4">
        <v>1</v>
      </c>
    </row>
    <row r="22" spans="1:6" ht="15" customHeight="1" x14ac:dyDescent="0.25">
      <c r="A22" s="2" t="s">
        <v>51</v>
      </c>
      <c r="B22" s="3" t="s">
        <v>52</v>
      </c>
      <c r="C22" s="4">
        <v>2</v>
      </c>
      <c r="D22" s="4">
        <v>0</v>
      </c>
      <c r="E22" s="5">
        <v>2</v>
      </c>
      <c r="F22" s="4">
        <v>1</v>
      </c>
    </row>
    <row r="23" spans="1:6" ht="15" customHeight="1" x14ac:dyDescent="0.25">
      <c r="A23" s="2" t="s">
        <v>53</v>
      </c>
      <c r="B23" s="3" t="s">
        <v>54</v>
      </c>
      <c r="C23" s="4">
        <v>3</v>
      </c>
      <c r="D23" s="4">
        <v>0</v>
      </c>
      <c r="E23" s="5">
        <v>3</v>
      </c>
      <c r="F23" s="4">
        <v>1</v>
      </c>
    </row>
    <row r="24" spans="1:6" ht="15" customHeight="1" x14ac:dyDescent="0.25">
      <c r="A24" s="2" t="s">
        <v>55</v>
      </c>
      <c r="B24" s="3" t="s">
        <v>56</v>
      </c>
      <c r="C24" s="4">
        <v>3</v>
      </c>
      <c r="D24" s="4">
        <v>2</v>
      </c>
      <c r="E24" s="5">
        <v>1</v>
      </c>
      <c r="F24" s="4">
        <v>1</v>
      </c>
    </row>
    <row r="25" spans="1:6" ht="23.25" customHeight="1" x14ac:dyDescent="0.25">
      <c r="A25" s="2" t="s">
        <v>57</v>
      </c>
      <c r="B25" s="3" t="s">
        <v>58</v>
      </c>
      <c r="C25" s="4">
        <v>4</v>
      </c>
      <c r="D25" s="4">
        <v>0</v>
      </c>
      <c r="E25" s="5">
        <v>4</v>
      </c>
      <c r="F25" s="4">
        <v>1</v>
      </c>
    </row>
    <row r="26" spans="1:6" ht="15" customHeight="1" x14ac:dyDescent="0.25">
      <c r="A26" s="2" t="s">
        <v>59</v>
      </c>
      <c r="B26" s="3" t="s">
        <v>60</v>
      </c>
      <c r="C26" s="4">
        <v>3</v>
      </c>
      <c r="D26" s="4">
        <v>1</v>
      </c>
      <c r="E26" s="5">
        <v>2</v>
      </c>
      <c r="F26" s="4">
        <v>1</v>
      </c>
    </row>
    <row r="27" spans="1:6" ht="15" customHeight="1" x14ac:dyDescent="0.25">
      <c r="A27" s="2" t="s">
        <v>61</v>
      </c>
      <c r="B27" s="3" t="s">
        <v>62</v>
      </c>
      <c r="C27" s="4">
        <v>4</v>
      </c>
      <c r="D27" s="4">
        <v>2</v>
      </c>
      <c r="E27" s="5">
        <v>2</v>
      </c>
      <c r="F27" s="4">
        <v>1</v>
      </c>
    </row>
    <row r="28" spans="1:6" ht="15" customHeight="1" x14ac:dyDescent="0.25">
      <c r="A28" s="2" t="s">
        <v>63</v>
      </c>
      <c r="B28" s="3" t="s">
        <v>64</v>
      </c>
      <c r="C28" s="4">
        <v>4</v>
      </c>
      <c r="D28" s="4">
        <v>2</v>
      </c>
      <c r="E28" s="5">
        <v>2</v>
      </c>
      <c r="F28" s="4">
        <v>1</v>
      </c>
    </row>
    <row r="29" spans="1:6" ht="15" customHeight="1" x14ac:dyDescent="0.25">
      <c r="A29" s="2" t="s">
        <v>65</v>
      </c>
      <c r="B29" s="3" t="s">
        <v>66</v>
      </c>
      <c r="C29" s="4">
        <v>3</v>
      </c>
      <c r="D29" s="4">
        <v>2</v>
      </c>
      <c r="E29" s="5">
        <v>1</v>
      </c>
      <c r="F29" s="4">
        <v>1</v>
      </c>
    </row>
    <row r="30" spans="1:6" ht="15" customHeight="1" x14ac:dyDescent="0.25">
      <c r="A30" s="2" t="s">
        <v>67</v>
      </c>
      <c r="B30" s="3" t="s">
        <v>68</v>
      </c>
      <c r="C30" s="4">
        <v>3</v>
      </c>
      <c r="D30" s="8">
        <v>3</v>
      </c>
      <c r="E30" s="4">
        <v>0</v>
      </c>
      <c r="F30" s="4">
        <v>1</v>
      </c>
    </row>
    <row r="31" spans="1:6" ht="15" customHeight="1" x14ac:dyDescent="0.25">
      <c r="A31" s="2" t="s">
        <v>69</v>
      </c>
      <c r="B31" s="3" t="s">
        <v>70</v>
      </c>
      <c r="C31" s="4">
        <v>3</v>
      </c>
      <c r="D31" s="4">
        <v>2</v>
      </c>
      <c r="E31" s="5">
        <v>1</v>
      </c>
      <c r="F31" s="4">
        <v>1</v>
      </c>
    </row>
    <row r="32" spans="1:6" ht="15" customHeight="1" x14ac:dyDescent="0.25">
      <c r="A32" s="2" t="s">
        <v>71</v>
      </c>
      <c r="B32" s="3" t="s">
        <v>72</v>
      </c>
      <c r="C32" s="4">
        <v>3</v>
      </c>
      <c r="D32" s="4">
        <v>2</v>
      </c>
      <c r="E32" s="5">
        <v>1</v>
      </c>
      <c r="F32" s="4">
        <v>1</v>
      </c>
    </row>
    <row r="33" spans="1:6" ht="15" customHeight="1" x14ac:dyDescent="0.25">
      <c r="A33" s="2" t="s">
        <v>73</v>
      </c>
      <c r="B33" s="3" t="s">
        <v>74</v>
      </c>
      <c r="C33" s="4">
        <v>4</v>
      </c>
      <c r="D33" s="4">
        <v>3</v>
      </c>
      <c r="E33" s="5">
        <v>1</v>
      </c>
      <c r="F33" s="4">
        <v>1</v>
      </c>
    </row>
    <row r="34" spans="1:6" ht="15" customHeight="1" x14ac:dyDescent="0.25">
      <c r="A34" s="2" t="s">
        <v>75</v>
      </c>
      <c r="B34" s="3" t="s">
        <v>76</v>
      </c>
      <c r="C34" s="4">
        <v>3</v>
      </c>
      <c r="D34" s="4">
        <v>1</v>
      </c>
      <c r="E34" s="5">
        <v>2</v>
      </c>
      <c r="F34" s="4">
        <v>1</v>
      </c>
    </row>
    <row r="35" spans="1:6" ht="15" customHeight="1" x14ac:dyDescent="0.25">
      <c r="A35" s="2" t="s">
        <v>77</v>
      </c>
      <c r="B35" s="3" t="s">
        <v>78</v>
      </c>
      <c r="C35" s="4">
        <v>4</v>
      </c>
      <c r="D35" s="4">
        <v>3</v>
      </c>
      <c r="E35" s="5">
        <v>1</v>
      </c>
      <c r="F35" s="4">
        <v>1</v>
      </c>
    </row>
    <row r="36" spans="1:6" ht="15" customHeight="1" x14ac:dyDescent="0.25">
      <c r="A36" s="2" t="s">
        <v>79</v>
      </c>
      <c r="B36" s="3" t="s">
        <v>80</v>
      </c>
      <c r="C36" s="4">
        <v>3</v>
      </c>
      <c r="D36" s="4">
        <v>2</v>
      </c>
      <c r="E36" s="5">
        <v>1</v>
      </c>
      <c r="F36" s="4">
        <v>1</v>
      </c>
    </row>
    <row r="37" spans="1:6" ht="15" customHeight="1" x14ac:dyDescent="0.25">
      <c r="A37" s="2" t="s">
        <v>81</v>
      </c>
      <c r="B37" s="3" t="s">
        <v>82</v>
      </c>
      <c r="C37" s="4">
        <v>3</v>
      </c>
      <c r="D37" s="4">
        <v>2</v>
      </c>
      <c r="E37" s="5">
        <v>1</v>
      </c>
      <c r="F37" s="4">
        <v>1</v>
      </c>
    </row>
    <row r="38" spans="1:6" ht="15" customHeight="1" x14ac:dyDescent="0.25">
      <c r="A38" s="2" t="s">
        <v>83</v>
      </c>
      <c r="B38" s="3" t="s">
        <v>84</v>
      </c>
      <c r="C38" s="4">
        <v>3</v>
      </c>
      <c r="D38" s="8">
        <v>3</v>
      </c>
      <c r="E38" s="4">
        <v>0</v>
      </c>
      <c r="F38" s="4">
        <v>1</v>
      </c>
    </row>
    <row r="39" spans="1:6" ht="15" customHeight="1" x14ac:dyDescent="0.25">
      <c r="A39" s="2" t="s">
        <v>85</v>
      </c>
      <c r="B39" s="3" t="s">
        <v>86</v>
      </c>
      <c r="C39" s="4">
        <v>4</v>
      </c>
      <c r="D39" s="8">
        <v>4</v>
      </c>
      <c r="E39" s="4">
        <v>0</v>
      </c>
      <c r="F39" s="4">
        <v>1</v>
      </c>
    </row>
    <row r="40" spans="1:6" ht="15" customHeight="1" x14ac:dyDescent="0.25">
      <c r="A40" s="2" t="s">
        <v>87</v>
      </c>
      <c r="B40" s="3" t="s">
        <v>88</v>
      </c>
      <c r="C40" s="4">
        <v>3</v>
      </c>
      <c r="D40" s="4">
        <v>1</v>
      </c>
      <c r="E40" s="5">
        <v>2</v>
      </c>
      <c r="F40" s="4">
        <v>1</v>
      </c>
    </row>
    <row r="41" spans="1:6" ht="15" customHeight="1" x14ac:dyDescent="0.25">
      <c r="A41" s="2" t="s">
        <v>89</v>
      </c>
      <c r="B41" s="3" t="s">
        <v>90</v>
      </c>
      <c r="C41" s="4">
        <v>3</v>
      </c>
      <c r="D41" s="4">
        <v>0</v>
      </c>
      <c r="E41" s="5">
        <v>3</v>
      </c>
      <c r="F41" s="4">
        <v>1</v>
      </c>
    </row>
    <row r="42" spans="1:6" ht="15" customHeight="1" x14ac:dyDescent="0.25">
      <c r="A42" s="2" t="s">
        <v>91</v>
      </c>
      <c r="B42" s="3" t="s">
        <v>92</v>
      </c>
      <c r="C42" s="4">
        <v>4</v>
      </c>
      <c r="D42" s="4">
        <v>1</v>
      </c>
      <c r="E42" s="5">
        <v>3</v>
      </c>
      <c r="F42" s="4">
        <v>1</v>
      </c>
    </row>
    <row r="43" spans="1:6" ht="15" customHeight="1" x14ac:dyDescent="0.25">
      <c r="A43" s="2" t="s">
        <v>93</v>
      </c>
      <c r="B43" s="3" t="s">
        <v>94</v>
      </c>
      <c r="C43" s="4">
        <v>3</v>
      </c>
      <c r="D43" s="4">
        <v>1</v>
      </c>
      <c r="E43" s="5">
        <v>2</v>
      </c>
      <c r="F43" s="4">
        <v>1</v>
      </c>
    </row>
    <row r="44" spans="1:6" ht="15" customHeight="1" x14ac:dyDescent="0.25">
      <c r="A44" s="2" t="s">
        <v>95</v>
      </c>
      <c r="B44" s="3" t="s">
        <v>96</v>
      </c>
      <c r="C44" s="4">
        <v>4</v>
      </c>
      <c r="D44" s="4">
        <v>2</v>
      </c>
      <c r="E44" s="5">
        <v>2</v>
      </c>
      <c r="F44" s="4">
        <v>1</v>
      </c>
    </row>
    <row r="45" spans="1:6" ht="15" customHeight="1" x14ac:dyDescent="0.25">
      <c r="A45" s="2" t="s">
        <v>97</v>
      </c>
      <c r="B45" s="3" t="s">
        <v>98</v>
      </c>
      <c r="C45" s="4">
        <v>3</v>
      </c>
      <c r="D45" s="4">
        <v>1</v>
      </c>
      <c r="E45" s="5">
        <v>2</v>
      </c>
      <c r="F45" s="4">
        <v>1</v>
      </c>
    </row>
    <row r="46" spans="1:6" ht="15" customHeight="1" x14ac:dyDescent="0.25">
      <c r="A46" s="2" t="s">
        <v>99</v>
      </c>
      <c r="B46" s="3" t="s">
        <v>100</v>
      </c>
      <c r="C46" s="4">
        <v>3</v>
      </c>
      <c r="D46" s="4">
        <v>1</v>
      </c>
      <c r="E46" s="5">
        <v>2</v>
      </c>
      <c r="F46" s="4">
        <v>1</v>
      </c>
    </row>
    <row r="47" spans="1:6" ht="15" customHeight="1" x14ac:dyDescent="0.25">
      <c r="A47" s="2" t="s">
        <v>101</v>
      </c>
      <c r="B47" s="3" t="s">
        <v>102</v>
      </c>
      <c r="C47" s="4">
        <v>2</v>
      </c>
      <c r="D47" s="4">
        <v>1</v>
      </c>
      <c r="E47" s="5">
        <v>1</v>
      </c>
      <c r="F47" s="4">
        <v>1</v>
      </c>
    </row>
    <row r="48" spans="1:6" ht="15" customHeight="1" x14ac:dyDescent="0.25">
      <c r="A48" s="2" t="s">
        <v>103</v>
      </c>
      <c r="B48" s="3" t="s">
        <v>104</v>
      </c>
      <c r="C48" s="4">
        <v>3</v>
      </c>
      <c r="D48" s="4">
        <v>1</v>
      </c>
      <c r="E48" s="5">
        <v>2</v>
      </c>
      <c r="F48" s="4">
        <v>1</v>
      </c>
    </row>
    <row r="49" spans="1:6" ht="15" customHeight="1" x14ac:dyDescent="0.25">
      <c r="A49" s="2" t="s">
        <v>105</v>
      </c>
      <c r="B49" s="3" t="s">
        <v>106</v>
      </c>
      <c r="C49" s="4">
        <v>3</v>
      </c>
      <c r="D49" s="4">
        <v>1</v>
      </c>
      <c r="E49" s="5">
        <v>2</v>
      </c>
      <c r="F49" s="4">
        <v>1</v>
      </c>
    </row>
    <row r="50" spans="1:6" ht="15" customHeight="1" x14ac:dyDescent="0.25">
      <c r="A50" s="2" t="s">
        <v>107</v>
      </c>
      <c r="B50" s="3" t="s">
        <v>108</v>
      </c>
      <c r="C50" s="4">
        <v>3</v>
      </c>
      <c r="D50" s="4">
        <v>1</v>
      </c>
      <c r="E50" s="5">
        <v>2</v>
      </c>
      <c r="F50" s="4">
        <v>1</v>
      </c>
    </row>
    <row r="51" spans="1:6" ht="15" customHeight="1" x14ac:dyDescent="0.25">
      <c r="A51" s="2" t="s">
        <v>109</v>
      </c>
      <c r="B51" s="3" t="s">
        <v>110</v>
      </c>
      <c r="C51" s="4">
        <v>3</v>
      </c>
      <c r="D51" s="4">
        <v>1</v>
      </c>
      <c r="E51" s="5">
        <v>2</v>
      </c>
      <c r="F51" s="4">
        <v>1</v>
      </c>
    </row>
    <row r="52" spans="1:6" ht="15" customHeight="1" x14ac:dyDescent="0.25"/>
    <row r="53" spans="1:6" ht="15" customHeight="1" x14ac:dyDescent="0.25"/>
  </sheetData>
  <mergeCells count="1">
    <mergeCell ref="H1:I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3"/>
  <sheetViews>
    <sheetView tabSelected="1" zoomScaleNormal="100" workbookViewId="0">
      <selection activeCell="E32" sqref="E32"/>
    </sheetView>
  </sheetViews>
  <sheetFormatPr defaultColWidth="8.7109375" defaultRowHeight="15" x14ac:dyDescent="0.25"/>
  <cols>
    <col min="1" max="1" width="10" customWidth="1"/>
    <col min="2" max="2" width="50" customWidth="1"/>
    <col min="3" max="3" width="8" customWidth="1"/>
    <col min="4" max="6" width="12" customWidth="1"/>
    <col min="8" max="8" width="22" customWidth="1"/>
    <col min="9" max="9" width="16" customWidth="1"/>
  </cols>
  <sheetData>
    <row r="1" spans="1:9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1" t="s">
        <v>111</v>
      </c>
      <c r="I1" s="11"/>
    </row>
    <row r="2" spans="1:9" ht="17.25" customHeight="1" x14ac:dyDescent="0.25">
      <c r="A2" s="2" t="s">
        <v>7</v>
      </c>
      <c r="B2" s="3" t="s">
        <v>8</v>
      </c>
      <c r="C2" s="4">
        <v>3</v>
      </c>
      <c r="D2" s="8">
        <v>3</v>
      </c>
      <c r="E2" s="4">
        <v>0</v>
      </c>
      <c r="F2" s="4">
        <v>2</v>
      </c>
      <c r="H2" s="6" t="s">
        <v>9</v>
      </c>
      <c r="I2" s="7">
        <f>SUM(D2:D500)</f>
        <v>107</v>
      </c>
    </row>
    <row r="3" spans="1:9" ht="17.25" customHeight="1" x14ac:dyDescent="0.25">
      <c r="A3" s="2" t="s">
        <v>10</v>
      </c>
      <c r="B3" s="3" t="s">
        <v>11</v>
      </c>
      <c r="C3" s="4">
        <v>3</v>
      </c>
      <c r="D3" s="8">
        <v>3</v>
      </c>
      <c r="E3" s="4">
        <v>0</v>
      </c>
      <c r="F3" s="4">
        <v>2</v>
      </c>
      <c r="H3" s="6" t="s">
        <v>12</v>
      </c>
      <c r="I3" s="7">
        <f>SUM(E2:E500)</f>
        <v>51</v>
      </c>
    </row>
    <row r="4" spans="1:9" ht="17.25" customHeight="1" x14ac:dyDescent="0.25">
      <c r="A4" s="2" t="s">
        <v>13</v>
      </c>
      <c r="B4" s="3" t="s">
        <v>14</v>
      </c>
      <c r="C4" s="4">
        <v>4</v>
      </c>
      <c r="D4" s="8">
        <v>4</v>
      </c>
      <c r="E4" s="4">
        <v>0</v>
      </c>
      <c r="F4" s="4">
        <v>2</v>
      </c>
      <c r="H4" s="6" t="s">
        <v>15</v>
      </c>
      <c r="I4" s="9">
        <f>IFERROR(SUM(D2:D500)/SUM(C2:C500),0)</f>
        <v>0.67721518987341767</v>
      </c>
    </row>
    <row r="5" spans="1:9" ht="17.25" customHeight="1" x14ac:dyDescent="0.25">
      <c r="A5" s="2" t="s">
        <v>16</v>
      </c>
      <c r="B5" s="3" t="s">
        <v>17</v>
      </c>
      <c r="C5" s="4">
        <v>3</v>
      </c>
      <c r="D5" s="4">
        <v>2</v>
      </c>
      <c r="E5" s="5">
        <v>1</v>
      </c>
      <c r="F5" s="4">
        <v>2</v>
      </c>
      <c r="H5" s="6" t="s">
        <v>18</v>
      </c>
      <c r="I5" s="10">
        <f>IFERROR(SUM(E2:E500)/SUM(C2:C500),0)</f>
        <v>0.32278481012658228</v>
      </c>
    </row>
    <row r="6" spans="1:9" ht="17.25" customHeight="1" x14ac:dyDescent="0.25">
      <c r="A6" s="2" t="s">
        <v>19</v>
      </c>
      <c r="B6" s="3" t="s">
        <v>20</v>
      </c>
      <c r="C6" s="4">
        <v>3</v>
      </c>
      <c r="D6" s="8">
        <v>3</v>
      </c>
      <c r="E6" s="4">
        <v>0</v>
      </c>
      <c r="F6" s="4">
        <v>2</v>
      </c>
    </row>
    <row r="7" spans="1:9" ht="15" customHeight="1" x14ac:dyDescent="0.25">
      <c r="A7" s="2" t="s">
        <v>21</v>
      </c>
      <c r="B7" s="3" t="s">
        <v>22</v>
      </c>
      <c r="C7" s="4">
        <v>3</v>
      </c>
      <c r="D7" s="4">
        <v>1</v>
      </c>
      <c r="E7" s="5">
        <v>2</v>
      </c>
      <c r="F7" s="4">
        <v>2</v>
      </c>
    </row>
    <row r="8" spans="1:9" ht="15" customHeight="1" x14ac:dyDescent="0.25">
      <c r="A8" s="2" t="s">
        <v>23</v>
      </c>
      <c r="B8" s="3" t="s">
        <v>24</v>
      </c>
      <c r="C8" s="4">
        <v>4</v>
      </c>
      <c r="D8" s="4">
        <v>3</v>
      </c>
      <c r="E8" s="5">
        <v>1</v>
      </c>
      <c r="F8" s="4">
        <v>2</v>
      </c>
    </row>
    <row r="9" spans="1:9" ht="15" customHeight="1" x14ac:dyDescent="0.25">
      <c r="A9" s="2" t="s">
        <v>25</v>
      </c>
      <c r="B9" s="3" t="s">
        <v>26</v>
      </c>
      <c r="C9" s="4">
        <v>4</v>
      </c>
      <c r="D9" s="4">
        <v>1</v>
      </c>
      <c r="E9" s="5">
        <v>3</v>
      </c>
      <c r="F9" s="4">
        <v>2</v>
      </c>
    </row>
    <row r="10" spans="1:9" ht="15" customHeight="1" x14ac:dyDescent="0.25">
      <c r="A10" s="2" t="s">
        <v>27</v>
      </c>
      <c r="B10" s="3" t="s">
        <v>28</v>
      </c>
      <c r="C10" s="4">
        <v>3</v>
      </c>
      <c r="D10" s="4">
        <v>1</v>
      </c>
      <c r="E10" s="5">
        <v>2</v>
      </c>
      <c r="F10" s="4">
        <v>2</v>
      </c>
    </row>
    <row r="11" spans="1:9" ht="15" customHeight="1" x14ac:dyDescent="0.25">
      <c r="A11" s="2" t="s">
        <v>29</v>
      </c>
      <c r="B11" s="3" t="s">
        <v>30</v>
      </c>
      <c r="C11" s="4">
        <v>3</v>
      </c>
      <c r="D11" s="4">
        <v>1</v>
      </c>
      <c r="E11" s="5">
        <v>2</v>
      </c>
      <c r="F11" s="4">
        <v>2</v>
      </c>
    </row>
    <row r="12" spans="1:9" ht="15" customHeight="1" x14ac:dyDescent="0.25">
      <c r="A12" s="2" t="s">
        <v>31</v>
      </c>
      <c r="B12" s="3" t="s">
        <v>32</v>
      </c>
      <c r="C12" s="4">
        <v>3</v>
      </c>
      <c r="D12" s="4">
        <v>0</v>
      </c>
      <c r="E12" s="5">
        <v>3</v>
      </c>
      <c r="F12" s="4">
        <v>2</v>
      </c>
    </row>
    <row r="13" spans="1:9" ht="15" customHeight="1" x14ac:dyDescent="0.25">
      <c r="A13" s="2" t="s">
        <v>33</v>
      </c>
      <c r="B13" s="3" t="s">
        <v>34</v>
      </c>
      <c r="C13" s="4">
        <v>3</v>
      </c>
      <c r="D13" s="8">
        <v>3</v>
      </c>
      <c r="E13" s="4">
        <v>0</v>
      </c>
      <c r="F13" s="4">
        <v>2</v>
      </c>
    </row>
    <row r="14" spans="1:9" ht="15" customHeight="1" x14ac:dyDescent="0.25">
      <c r="A14" s="2" t="s">
        <v>35</v>
      </c>
      <c r="B14" s="3" t="s">
        <v>36</v>
      </c>
      <c r="C14" s="4">
        <v>3</v>
      </c>
      <c r="D14" s="8">
        <v>3</v>
      </c>
      <c r="E14" s="4">
        <v>0</v>
      </c>
      <c r="F14" s="4">
        <v>2</v>
      </c>
    </row>
    <row r="15" spans="1:9" ht="15" customHeight="1" x14ac:dyDescent="0.25">
      <c r="A15" s="2" t="s">
        <v>37</v>
      </c>
      <c r="B15" s="3" t="s">
        <v>38</v>
      </c>
      <c r="C15" s="4">
        <v>3</v>
      </c>
      <c r="D15" s="4">
        <v>1</v>
      </c>
      <c r="E15" s="5">
        <v>2</v>
      </c>
      <c r="F15" s="4">
        <v>2</v>
      </c>
    </row>
    <row r="16" spans="1:9" ht="15" customHeight="1" x14ac:dyDescent="0.25">
      <c r="A16" s="2" t="s">
        <v>39</v>
      </c>
      <c r="B16" s="3" t="s">
        <v>40</v>
      </c>
      <c r="C16" s="4">
        <v>3</v>
      </c>
      <c r="D16" s="4">
        <v>1</v>
      </c>
      <c r="E16" s="5">
        <v>2</v>
      </c>
      <c r="F16" s="4">
        <v>2</v>
      </c>
    </row>
    <row r="17" spans="1:6" ht="15" customHeight="1" x14ac:dyDescent="0.25">
      <c r="A17" s="2" t="s">
        <v>41</v>
      </c>
      <c r="B17" s="3" t="s">
        <v>42</v>
      </c>
      <c r="C17" s="4">
        <v>2</v>
      </c>
      <c r="D17" s="4">
        <v>1</v>
      </c>
      <c r="E17" s="5">
        <v>1</v>
      </c>
      <c r="F17" s="4">
        <v>2</v>
      </c>
    </row>
    <row r="18" spans="1:6" ht="15" customHeight="1" x14ac:dyDescent="0.25">
      <c r="A18" s="2" t="s">
        <v>43</v>
      </c>
      <c r="B18" s="3" t="s">
        <v>44</v>
      </c>
      <c r="C18" s="4">
        <v>3</v>
      </c>
      <c r="D18" s="4">
        <v>2</v>
      </c>
      <c r="E18" s="5">
        <v>1</v>
      </c>
      <c r="F18" s="4">
        <v>2</v>
      </c>
    </row>
    <row r="19" spans="1:6" ht="15" customHeight="1" x14ac:dyDescent="0.25">
      <c r="A19" s="2" t="s">
        <v>45</v>
      </c>
      <c r="B19" s="3" t="s">
        <v>46</v>
      </c>
      <c r="C19" s="4">
        <v>3</v>
      </c>
      <c r="D19" s="8">
        <v>3</v>
      </c>
      <c r="E19" s="4">
        <v>0</v>
      </c>
      <c r="F19" s="4">
        <v>2</v>
      </c>
    </row>
    <row r="20" spans="1:6" ht="15" customHeight="1" x14ac:dyDescent="0.25">
      <c r="A20" s="2" t="s">
        <v>47</v>
      </c>
      <c r="B20" s="3" t="s">
        <v>48</v>
      </c>
      <c r="C20" s="4">
        <v>3</v>
      </c>
      <c r="D20" s="8">
        <v>3</v>
      </c>
      <c r="E20" s="4">
        <v>0</v>
      </c>
      <c r="F20" s="4">
        <v>2</v>
      </c>
    </row>
    <row r="21" spans="1:6" ht="15" customHeight="1" x14ac:dyDescent="0.25">
      <c r="A21" s="2" t="s">
        <v>49</v>
      </c>
      <c r="B21" s="3" t="s">
        <v>50</v>
      </c>
      <c r="C21" s="4">
        <v>3</v>
      </c>
      <c r="D21" s="4">
        <v>2</v>
      </c>
      <c r="E21" s="5">
        <v>1</v>
      </c>
      <c r="F21" s="4">
        <v>2</v>
      </c>
    </row>
    <row r="22" spans="1:6" ht="15" customHeight="1" x14ac:dyDescent="0.25">
      <c r="A22" s="2" t="s">
        <v>51</v>
      </c>
      <c r="B22" s="3" t="s">
        <v>52</v>
      </c>
      <c r="C22" s="4">
        <v>2</v>
      </c>
      <c r="D22" s="4">
        <v>1</v>
      </c>
      <c r="E22" s="5">
        <v>1</v>
      </c>
      <c r="F22" s="4">
        <v>2</v>
      </c>
    </row>
    <row r="23" spans="1:6" ht="15" customHeight="1" x14ac:dyDescent="0.25">
      <c r="A23" s="2" t="s">
        <v>53</v>
      </c>
      <c r="B23" s="3" t="s">
        <v>54</v>
      </c>
      <c r="C23" s="4">
        <v>3</v>
      </c>
      <c r="D23" s="4">
        <v>2</v>
      </c>
      <c r="E23" s="5">
        <v>1</v>
      </c>
      <c r="F23" s="4">
        <v>2</v>
      </c>
    </row>
    <row r="24" spans="1:6" ht="15" customHeight="1" x14ac:dyDescent="0.25">
      <c r="A24" s="2" t="s">
        <v>55</v>
      </c>
      <c r="B24" s="3" t="s">
        <v>56</v>
      </c>
      <c r="C24" s="4">
        <v>3</v>
      </c>
      <c r="D24" s="4">
        <v>1</v>
      </c>
      <c r="E24" s="5">
        <v>2</v>
      </c>
      <c r="F24" s="4">
        <v>2</v>
      </c>
    </row>
    <row r="25" spans="1:6" ht="23.25" customHeight="1" x14ac:dyDescent="0.25">
      <c r="A25" s="2" t="s">
        <v>57</v>
      </c>
      <c r="B25" s="3" t="s">
        <v>58</v>
      </c>
      <c r="C25" s="4">
        <v>4</v>
      </c>
      <c r="D25" s="4">
        <v>2</v>
      </c>
      <c r="E25" s="5">
        <v>2</v>
      </c>
      <c r="F25" s="4">
        <v>2</v>
      </c>
    </row>
    <row r="26" spans="1:6" ht="15" customHeight="1" x14ac:dyDescent="0.25">
      <c r="A26" s="2" t="s">
        <v>59</v>
      </c>
      <c r="B26" s="3" t="s">
        <v>60</v>
      </c>
      <c r="C26" s="4">
        <v>3</v>
      </c>
      <c r="D26" s="4">
        <v>1</v>
      </c>
      <c r="E26" s="5">
        <v>2</v>
      </c>
      <c r="F26" s="4">
        <v>2</v>
      </c>
    </row>
    <row r="27" spans="1:6" ht="15" customHeight="1" x14ac:dyDescent="0.25">
      <c r="A27" s="2" t="s">
        <v>61</v>
      </c>
      <c r="B27" s="3" t="s">
        <v>62</v>
      </c>
      <c r="C27" s="4">
        <v>4</v>
      </c>
      <c r="D27" s="4">
        <v>2</v>
      </c>
      <c r="E27" s="5">
        <v>2</v>
      </c>
      <c r="F27" s="4">
        <v>2</v>
      </c>
    </row>
    <row r="28" spans="1:6" ht="15" customHeight="1" x14ac:dyDescent="0.25">
      <c r="A28" s="2" t="s">
        <v>63</v>
      </c>
      <c r="B28" s="3" t="s">
        <v>64</v>
      </c>
      <c r="C28" s="4">
        <v>4</v>
      </c>
      <c r="D28" s="4">
        <v>2</v>
      </c>
      <c r="E28" s="5">
        <v>2</v>
      </c>
      <c r="F28" s="4">
        <v>2</v>
      </c>
    </row>
    <row r="29" spans="1:6" ht="15" customHeight="1" x14ac:dyDescent="0.25">
      <c r="A29" s="2" t="s">
        <v>65</v>
      </c>
      <c r="B29" s="3" t="s">
        <v>66</v>
      </c>
      <c r="C29" s="4">
        <v>3</v>
      </c>
      <c r="D29" s="4">
        <v>2</v>
      </c>
      <c r="E29" s="5">
        <v>1</v>
      </c>
      <c r="F29" s="4">
        <v>2</v>
      </c>
    </row>
    <row r="30" spans="1:6" ht="15" customHeight="1" x14ac:dyDescent="0.25">
      <c r="A30" s="2" t="s">
        <v>67</v>
      </c>
      <c r="B30" s="3" t="s">
        <v>68</v>
      </c>
      <c r="C30" s="4">
        <v>3</v>
      </c>
      <c r="D30" s="8">
        <v>3</v>
      </c>
      <c r="E30" s="4">
        <v>0</v>
      </c>
      <c r="F30" s="4">
        <v>2</v>
      </c>
    </row>
    <row r="31" spans="1:6" ht="15" customHeight="1" x14ac:dyDescent="0.25">
      <c r="A31" s="2" t="s">
        <v>69</v>
      </c>
      <c r="B31" s="3" t="s">
        <v>70</v>
      </c>
      <c r="C31" s="4">
        <v>3</v>
      </c>
      <c r="D31" s="8">
        <v>3</v>
      </c>
      <c r="E31" s="4">
        <v>0</v>
      </c>
      <c r="F31" s="4">
        <v>2</v>
      </c>
    </row>
    <row r="32" spans="1:6" ht="15" customHeight="1" x14ac:dyDescent="0.25">
      <c r="A32" s="2" t="s">
        <v>71</v>
      </c>
      <c r="B32" s="3" t="s">
        <v>72</v>
      </c>
      <c r="C32" s="4">
        <v>3</v>
      </c>
      <c r="D32" s="8">
        <v>3</v>
      </c>
      <c r="E32" s="4">
        <v>0</v>
      </c>
      <c r="F32" s="4">
        <v>2</v>
      </c>
    </row>
    <row r="33" spans="1:6" ht="15" customHeight="1" x14ac:dyDescent="0.25">
      <c r="A33" s="2" t="s">
        <v>73</v>
      </c>
      <c r="B33" s="3" t="s">
        <v>74</v>
      </c>
      <c r="C33" s="4">
        <v>4</v>
      </c>
      <c r="D33" s="4">
        <v>3</v>
      </c>
      <c r="E33" s="5">
        <v>1</v>
      </c>
      <c r="F33" s="4">
        <v>2</v>
      </c>
    </row>
    <row r="34" spans="1:6" ht="15" customHeight="1" x14ac:dyDescent="0.25">
      <c r="A34" s="2" t="s">
        <v>75</v>
      </c>
      <c r="B34" s="3" t="s">
        <v>76</v>
      </c>
      <c r="C34" s="4">
        <v>3</v>
      </c>
      <c r="D34" s="8">
        <v>3</v>
      </c>
      <c r="E34" s="4">
        <v>0</v>
      </c>
      <c r="F34" s="4">
        <v>2</v>
      </c>
    </row>
    <row r="35" spans="1:6" ht="15" customHeight="1" x14ac:dyDescent="0.25">
      <c r="A35" s="2" t="s">
        <v>77</v>
      </c>
      <c r="B35" s="3" t="s">
        <v>78</v>
      </c>
      <c r="C35" s="4">
        <v>4</v>
      </c>
      <c r="D35" s="8">
        <v>4</v>
      </c>
      <c r="E35" s="4">
        <v>0</v>
      </c>
      <c r="F35" s="4">
        <v>2</v>
      </c>
    </row>
    <row r="36" spans="1:6" ht="15" customHeight="1" x14ac:dyDescent="0.25">
      <c r="A36" s="2" t="s">
        <v>79</v>
      </c>
      <c r="B36" s="3" t="s">
        <v>80</v>
      </c>
      <c r="C36" s="4">
        <v>3</v>
      </c>
      <c r="D36" s="8">
        <v>3</v>
      </c>
      <c r="E36" s="4">
        <v>0</v>
      </c>
      <c r="F36" s="4">
        <v>2</v>
      </c>
    </row>
    <row r="37" spans="1:6" ht="15" customHeight="1" x14ac:dyDescent="0.25">
      <c r="A37" s="2" t="s">
        <v>81</v>
      </c>
      <c r="B37" s="3" t="s">
        <v>82</v>
      </c>
      <c r="C37" s="4">
        <v>3</v>
      </c>
      <c r="D37" s="4">
        <v>2</v>
      </c>
      <c r="E37" s="5">
        <v>1</v>
      </c>
      <c r="F37" s="4">
        <v>2</v>
      </c>
    </row>
    <row r="38" spans="1:6" ht="15" customHeight="1" x14ac:dyDescent="0.25">
      <c r="A38" s="2" t="s">
        <v>83</v>
      </c>
      <c r="B38" s="3" t="s">
        <v>84</v>
      </c>
      <c r="C38" s="4">
        <v>3</v>
      </c>
      <c r="D38" s="8">
        <v>3</v>
      </c>
      <c r="E38" s="4">
        <v>0</v>
      </c>
      <c r="F38" s="4">
        <v>2</v>
      </c>
    </row>
    <row r="39" spans="1:6" ht="15" customHeight="1" x14ac:dyDescent="0.25">
      <c r="A39" s="2" t="s">
        <v>85</v>
      </c>
      <c r="B39" s="3" t="s">
        <v>86</v>
      </c>
      <c r="C39" s="4">
        <v>4</v>
      </c>
      <c r="D39" s="8">
        <v>4</v>
      </c>
      <c r="E39" s="4">
        <v>0</v>
      </c>
      <c r="F39" s="4">
        <v>2</v>
      </c>
    </row>
    <row r="40" spans="1:6" ht="15" customHeight="1" x14ac:dyDescent="0.25">
      <c r="A40" s="2" t="s">
        <v>87</v>
      </c>
      <c r="B40" s="3" t="s">
        <v>88</v>
      </c>
      <c r="C40" s="4">
        <v>3</v>
      </c>
      <c r="D40" s="4">
        <v>1</v>
      </c>
      <c r="E40" s="5">
        <v>2</v>
      </c>
      <c r="F40" s="4">
        <v>2</v>
      </c>
    </row>
    <row r="41" spans="1:6" ht="15" customHeight="1" x14ac:dyDescent="0.25">
      <c r="A41" s="2" t="s">
        <v>89</v>
      </c>
      <c r="B41" s="3" t="s">
        <v>90</v>
      </c>
      <c r="C41" s="4">
        <v>3</v>
      </c>
      <c r="D41" s="4">
        <v>0</v>
      </c>
      <c r="E41" s="5">
        <v>3</v>
      </c>
      <c r="F41" s="4">
        <v>2</v>
      </c>
    </row>
    <row r="42" spans="1:6" ht="15" customHeight="1" x14ac:dyDescent="0.25">
      <c r="A42" s="2" t="s">
        <v>91</v>
      </c>
      <c r="B42" s="3" t="s">
        <v>92</v>
      </c>
      <c r="C42" s="4">
        <v>4</v>
      </c>
      <c r="D42" s="8">
        <v>4</v>
      </c>
      <c r="E42" s="4">
        <v>0</v>
      </c>
      <c r="F42" s="4">
        <v>2</v>
      </c>
    </row>
    <row r="43" spans="1:6" ht="15" customHeight="1" x14ac:dyDescent="0.25">
      <c r="A43" s="2" t="s">
        <v>93</v>
      </c>
      <c r="B43" s="3" t="s">
        <v>94</v>
      </c>
      <c r="C43" s="4">
        <v>3</v>
      </c>
      <c r="D43" s="4">
        <v>1</v>
      </c>
      <c r="E43" s="5">
        <v>2</v>
      </c>
      <c r="F43" s="4">
        <v>2</v>
      </c>
    </row>
    <row r="44" spans="1:6" ht="15" customHeight="1" x14ac:dyDescent="0.25">
      <c r="A44" s="2" t="s">
        <v>95</v>
      </c>
      <c r="B44" s="3" t="s">
        <v>96</v>
      </c>
      <c r="C44" s="4">
        <v>4</v>
      </c>
      <c r="D44" s="8">
        <v>4</v>
      </c>
      <c r="E44" s="4">
        <v>0</v>
      </c>
      <c r="F44" s="4">
        <v>2</v>
      </c>
    </row>
    <row r="45" spans="1:6" ht="15" customHeight="1" x14ac:dyDescent="0.25">
      <c r="A45" s="2" t="s">
        <v>97</v>
      </c>
      <c r="B45" s="3" t="s">
        <v>98</v>
      </c>
      <c r="C45" s="4">
        <v>3</v>
      </c>
      <c r="D45" s="4">
        <v>2</v>
      </c>
      <c r="E45" s="5">
        <v>1</v>
      </c>
      <c r="F45" s="4">
        <v>2</v>
      </c>
    </row>
    <row r="46" spans="1:6" ht="15" customHeight="1" x14ac:dyDescent="0.25">
      <c r="A46" s="2" t="s">
        <v>99</v>
      </c>
      <c r="B46" s="3" t="s">
        <v>100</v>
      </c>
      <c r="C46" s="4">
        <v>3</v>
      </c>
      <c r="D46" s="4">
        <v>2</v>
      </c>
      <c r="E46" s="5">
        <v>1</v>
      </c>
      <c r="F46" s="4">
        <v>2</v>
      </c>
    </row>
    <row r="47" spans="1:6" ht="15" customHeight="1" x14ac:dyDescent="0.25">
      <c r="A47" s="2" t="s">
        <v>101</v>
      </c>
      <c r="B47" s="3" t="s">
        <v>102</v>
      </c>
      <c r="C47" s="4">
        <v>2</v>
      </c>
      <c r="D47" s="4">
        <v>1</v>
      </c>
      <c r="E47" s="5">
        <v>1</v>
      </c>
      <c r="F47" s="4">
        <v>2</v>
      </c>
    </row>
    <row r="48" spans="1:6" ht="15" customHeight="1" x14ac:dyDescent="0.25">
      <c r="A48" s="2" t="s">
        <v>103</v>
      </c>
      <c r="B48" s="3" t="s">
        <v>104</v>
      </c>
      <c r="C48" s="4">
        <v>3</v>
      </c>
      <c r="D48" s="4">
        <v>2</v>
      </c>
      <c r="E48" s="5">
        <v>1</v>
      </c>
      <c r="F48" s="4">
        <v>2</v>
      </c>
    </row>
    <row r="49" spans="1:6" ht="15" customHeight="1" x14ac:dyDescent="0.25">
      <c r="A49" s="2" t="s">
        <v>105</v>
      </c>
      <c r="B49" s="3" t="s">
        <v>106</v>
      </c>
      <c r="C49" s="4">
        <v>3</v>
      </c>
      <c r="D49" s="4">
        <v>2</v>
      </c>
      <c r="E49" s="5">
        <v>1</v>
      </c>
      <c r="F49" s="4">
        <v>2</v>
      </c>
    </row>
    <row r="50" spans="1:6" ht="15" customHeight="1" x14ac:dyDescent="0.25">
      <c r="A50" s="2" t="s">
        <v>107</v>
      </c>
      <c r="B50" s="3" t="s">
        <v>108</v>
      </c>
      <c r="C50" s="4">
        <v>3</v>
      </c>
      <c r="D50" s="4">
        <v>1</v>
      </c>
      <c r="E50" s="5">
        <v>2</v>
      </c>
      <c r="F50" s="4">
        <v>2</v>
      </c>
    </row>
    <row r="51" spans="1:6" ht="15" customHeight="1" x14ac:dyDescent="0.25">
      <c r="A51" s="2" t="s">
        <v>109</v>
      </c>
      <c r="B51" s="3" t="s">
        <v>110</v>
      </c>
      <c r="C51" s="4">
        <v>3</v>
      </c>
      <c r="D51" s="4">
        <v>2</v>
      </c>
      <c r="E51" s="5">
        <v>1</v>
      </c>
      <c r="F51" s="4">
        <v>2</v>
      </c>
    </row>
    <row r="52" spans="1:6" ht="15" customHeight="1" x14ac:dyDescent="0.25"/>
    <row r="53" spans="1:6" ht="15" customHeight="1" x14ac:dyDescent="0.25"/>
  </sheetData>
  <mergeCells count="1">
    <mergeCell ref="H1:I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3"/>
  <sheetViews>
    <sheetView topLeftCell="A47" zoomScaleNormal="100" workbookViewId="0">
      <selection activeCell="H42" sqref="H42"/>
    </sheetView>
  </sheetViews>
  <sheetFormatPr defaultColWidth="8.7109375" defaultRowHeight="15" x14ac:dyDescent="0.25"/>
  <cols>
    <col min="1" max="1" width="10" customWidth="1"/>
    <col min="2" max="2" width="50" customWidth="1"/>
    <col min="3" max="3" width="8" customWidth="1"/>
    <col min="4" max="6" width="12" customWidth="1"/>
    <col min="8" max="8" width="22" customWidth="1"/>
    <col min="9" max="9" width="16" customWidth="1"/>
  </cols>
  <sheetData>
    <row r="1" spans="1:9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1" t="s">
        <v>112</v>
      </c>
      <c r="I1" s="11"/>
    </row>
    <row r="2" spans="1:9" ht="17.25" customHeight="1" x14ac:dyDescent="0.25">
      <c r="A2" s="2" t="s">
        <v>7</v>
      </c>
      <c r="B2" s="3" t="s">
        <v>8</v>
      </c>
      <c r="C2" s="4">
        <v>3</v>
      </c>
      <c r="D2" s="8">
        <v>3</v>
      </c>
      <c r="E2" s="4">
        <v>0</v>
      </c>
      <c r="F2" s="4">
        <v>3</v>
      </c>
      <c r="H2" s="6" t="s">
        <v>9</v>
      </c>
      <c r="I2" s="7">
        <f>SUM(D2:D500)</f>
        <v>154</v>
      </c>
    </row>
    <row r="3" spans="1:9" ht="17.25" customHeight="1" x14ac:dyDescent="0.25">
      <c r="A3" s="2" t="s">
        <v>10</v>
      </c>
      <c r="B3" s="3" t="s">
        <v>11</v>
      </c>
      <c r="C3" s="4">
        <v>3</v>
      </c>
      <c r="D3" s="8">
        <v>3</v>
      </c>
      <c r="E3" s="4">
        <v>0</v>
      </c>
      <c r="F3" s="4">
        <v>3</v>
      </c>
      <c r="H3" s="6" t="s">
        <v>12</v>
      </c>
      <c r="I3" s="7">
        <f>SUM(E2:E500)</f>
        <v>4</v>
      </c>
    </row>
    <row r="4" spans="1:9" ht="17.25" customHeight="1" x14ac:dyDescent="0.25">
      <c r="A4" s="2" t="s">
        <v>13</v>
      </c>
      <c r="B4" s="3" t="s">
        <v>14</v>
      </c>
      <c r="C4" s="4">
        <v>4</v>
      </c>
      <c r="D4" s="8">
        <v>4</v>
      </c>
      <c r="E4" s="4">
        <v>0</v>
      </c>
      <c r="F4" s="4">
        <v>3</v>
      </c>
      <c r="H4" s="6" t="s">
        <v>15</v>
      </c>
      <c r="I4" s="9">
        <f>IFERROR(SUM(D2:D500)/SUM(C2:C500),0)</f>
        <v>0.97468354430379744</v>
      </c>
    </row>
    <row r="5" spans="1:9" ht="17.25" customHeight="1" x14ac:dyDescent="0.25">
      <c r="A5" s="2" t="s">
        <v>16</v>
      </c>
      <c r="B5" s="3" t="s">
        <v>17</v>
      </c>
      <c r="C5" s="4">
        <v>3</v>
      </c>
      <c r="D5" s="8">
        <v>3</v>
      </c>
      <c r="E5" s="4">
        <v>0</v>
      </c>
      <c r="F5" s="4">
        <v>3</v>
      </c>
      <c r="H5" s="6" t="s">
        <v>18</v>
      </c>
      <c r="I5" s="10">
        <f>IFERROR(SUM(E2:E500)/SUM(C2:C500),0)</f>
        <v>2.5316455696202531E-2</v>
      </c>
    </row>
    <row r="6" spans="1:9" ht="17.25" customHeight="1" x14ac:dyDescent="0.25">
      <c r="A6" s="2" t="s">
        <v>19</v>
      </c>
      <c r="B6" s="3" t="s">
        <v>20</v>
      </c>
      <c r="C6" s="4">
        <v>3</v>
      </c>
      <c r="D6" s="8">
        <v>3</v>
      </c>
      <c r="E6" s="4">
        <v>0</v>
      </c>
      <c r="F6" s="4">
        <v>3</v>
      </c>
    </row>
    <row r="7" spans="1:9" ht="15" customHeight="1" x14ac:dyDescent="0.25">
      <c r="A7" s="2" t="s">
        <v>21</v>
      </c>
      <c r="B7" s="3" t="s">
        <v>22</v>
      </c>
      <c r="C7" s="4">
        <v>3</v>
      </c>
      <c r="D7" s="8">
        <v>3</v>
      </c>
      <c r="E7" s="4">
        <v>0</v>
      </c>
      <c r="F7" s="4">
        <v>3</v>
      </c>
    </row>
    <row r="8" spans="1:9" ht="15" customHeight="1" x14ac:dyDescent="0.25">
      <c r="A8" s="2" t="s">
        <v>23</v>
      </c>
      <c r="B8" s="3" t="s">
        <v>24</v>
      </c>
      <c r="C8" s="4">
        <v>4</v>
      </c>
      <c r="D8" s="8">
        <v>4</v>
      </c>
      <c r="E8" s="4">
        <v>0</v>
      </c>
      <c r="F8" s="4">
        <v>3</v>
      </c>
    </row>
    <row r="9" spans="1:9" ht="15" customHeight="1" x14ac:dyDescent="0.25">
      <c r="A9" s="2" t="s">
        <v>25</v>
      </c>
      <c r="B9" s="3" t="s">
        <v>26</v>
      </c>
      <c r="C9" s="4">
        <v>4</v>
      </c>
      <c r="D9" s="8">
        <v>4</v>
      </c>
      <c r="E9" s="4">
        <v>0</v>
      </c>
      <c r="F9" s="4">
        <v>3</v>
      </c>
    </row>
    <row r="10" spans="1:9" ht="15" customHeight="1" x14ac:dyDescent="0.25">
      <c r="A10" s="2" t="s">
        <v>27</v>
      </c>
      <c r="B10" s="3" t="s">
        <v>28</v>
      </c>
      <c r="C10" s="4">
        <v>3</v>
      </c>
      <c r="D10" s="8">
        <v>3</v>
      </c>
      <c r="E10" s="4">
        <v>0</v>
      </c>
      <c r="F10" s="4">
        <v>3</v>
      </c>
    </row>
    <row r="11" spans="1:9" ht="15" customHeight="1" x14ac:dyDescent="0.25">
      <c r="A11" s="2" t="s">
        <v>29</v>
      </c>
      <c r="B11" s="3" t="s">
        <v>30</v>
      </c>
      <c r="C11" s="4">
        <v>3</v>
      </c>
      <c r="D11" s="8">
        <v>3</v>
      </c>
      <c r="E11" s="4">
        <v>0</v>
      </c>
      <c r="F11" s="4">
        <v>3</v>
      </c>
    </row>
    <row r="12" spans="1:9" ht="15" customHeight="1" x14ac:dyDescent="0.25">
      <c r="A12" s="2" t="s">
        <v>31</v>
      </c>
      <c r="B12" s="3" t="s">
        <v>32</v>
      </c>
      <c r="C12" s="4">
        <v>3</v>
      </c>
      <c r="D12" s="8">
        <v>3</v>
      </c>
      <c r="E12" s="4">
        <v>0</v>
      </c>
      <c r="F12" s="4">
        <v>3</v>
      </c>
    </row>
    <row r="13" spans="1:9" ht="15" customHeight="1" x14ac:dyDescent="0.25">
      <c r="A13" s="2" t="s">
        <v>33</v>
      </c>
      <c r="B13" s="3" t="s">
        <v>34</v>
      </c>
      <c r="C13" s="4">
        <v>3</v>
      </c>
      <c r="D13" s="8">
        <v>3</v>
      </c>
      <c r="E13" s="4">
        <v>0</v>
      </c>
      <c r="F13" s="4">
        <v>3</v>
      </c>
    </row>
    <row r="14" spans="1:9" ht="15" customHeight="1" x14ac:dyDescent="0.25">
      <c r="A14" s="2" t="s">
        <v>35</v>
      </c>
      <c r="B14" s="3" t="s">
        <v>36</v>
      </c>
      <c r="C14" s="4">
        <v>3</v>
      </c>
      <c r="D14" s="8">
        <v>3</v>
      </c>
      <c r="E14" s="4">
        <v>0</v>
      </c>
      <c r="F14" s="4">
        <v>3</v>
      </c>
    </row>
    <row r="15" spans="1:9" ht="15" customHeight="1" x14ac:dyDescent="0.25">
      <c r="A15" s="2" t="s">
        <v>37</v>
      </c>
      <c r="B15" s="3" t="s">
        <v>38</v>
      </c>
      <c r="C15" s="4">
        <v>3</v>
      </c>
      <c r="D15" s="8">
        <v>3</v>
      </c>
      <c r="E15" s="4">
        <v>0</v>
      </c>
      <c r="F15" s="4">
        <v>3</v>
      </c>
    </row>
    <row r="16" spans="1:9" ht="15" customHeight="1" x14ac:dyDescent="0.25">
      <c r="A16" s="2" t="s">
        <v>39</v>
      </c>
      <c r="B16" s="3" t="s">
        <v>40</v>
      </c>
      <c r="C16" s="4">
        <v>3</v>
      </c>
      <c r="D16" s="8">
        <v>3</v>
      </c>
      <c r="E16" s="4">
        <v>0</v>
      </c>
      <c r="F16" s="4">
        <v>3</v>
      </c>
    </row>
    <row r="17" spans="1:6" ht="15" customHeight="1" x14ac:dyDescent="0.25">
      <c r="A17" s="2" t="s">
        <v>41</v>
      </c>
      <c r="B17" s="3" t="s">
        <v>42</v>
      </c>
      <c r="C17" s="4">
        <v>2</v>
      </c>
      <c r="D17" s="8">
        <v>2</v>
      </c>
      <c r="E17" s="4">
        <v>0</v>
      </c>
      <c r="F17" s="4">
        <v>3</v>
      </c>
    </row>
    <row r="18" spans="1:6" ht="15" customHeight="1" x14ac:dyDescent="0.25">
      <c r="A18" s="2" t="s">
        <v>43</v>
      </c>
      <c r="B18" s="3" t="s">
        <v>44</v>
      </c>
      <c r="C18" s="4">
        <v>3</v>
      </c>
      <c r="D18" s="8">
        <v>3</v>
      </c>
      <c r="E18" s="4">
        <v>0</v>
      </c>
      <c r="F18" s="4">
        <v>3</v>
      </c>
    </row>
    <row r="19" spans="1:6" ht="15" customHeight="1" x14ac:dyDescent="0.25">
      <c r="A19" s="2" t="s">
        <v>45</v>
      </c>
      <c r="B19" s="3" t="s">
        <v>46</v>
      </c>
      <c r="C19" s="4">
        <v>3</v>
      </c>
      <c r="D19" s="8">
        <v>3</v>
      </c>
      <c r="E19" s="4">
        <v>0</v>
      </c>
      <c r="F19" s="4">
        <v>3</v>
      </c>
    </row>
    <row r="20" spans="1:6" ht="15" customHeight="1" x14ac:dyDescent="0.25">
      <c r="A20" s="2" t="s">
        <v>47</v>
      </c>
      <c r="B20" s="3" t="s">
        <v>48</v>
      </c>
      <c r="C20" s="4">
        <v>3</v>
      </c>
      <c r="D20" s="8">
        <v>3</v>
      </c>
      <c r="E20" s="4">
        <v>0</v>
      </c>
      <c r="F20" s="4">
        <v>3</v>
      </c>
    </row>
    <row r="21" spans="1:6" ht="15" customHeight="1" x14ac:dyDescent="0.25">
      <c r="A21" s="2" t="s">
        <v>49</v>
      </c>
      <c r="B21" s="3" t="s">
        <v>50</v>
      </c>
      <c r="C21" s="4">
        <v>3</v>
      </c>
      <c r="D21" s="8">
        <v>3</v>
      </c>
      <c r="E21" s="4">
        <v>0</v>
      </c>
      <c r="F21" s="4">
        <v>3</v>
      </c>
    </row>
    <row r="22" spans="1:6" ht="15" customHeight="1" x14ac:dyDescent="0.25">
      <c r="A22" s="2" t="s">
        <v>51</v>
      </c>
      <c r="B22" s="3" t="s">
        <v>52</v>
      </c>
      <c r="C22" s="4">
        <v>2</v>
      </c>
      <c r="D22" s="8">
        <v>2</v>
      </c>
      <c r="E22" s="4">
        <v>0</v>
      </c>
      <c r="F22" s="4">
        <v>3</v>
      </c>
    </row>
    <row r="23" spans="1:6" ht="15" customHeight="1" x14ac:dyDescent="0.25">
      <c r="A23" s="2" t="s">
        <v>53</v>
      </c>
      <c r="B23" s="3" t="s">
        <v>54</v>
      </c>
      <c r="C23" s="4">
        <v>3</v>
      </c>
      <c r="D23" s="8">
        <v>3</v>
      </c>
      <c r="E23" s="4">
        <v>0</v>
      </c>
      <c r="F23" s="4">
        <v>3</v>
      </c>
    </row>
    <row r="24" spans="1:6" ht="15" customHeight="1" x14ac:dyDescent="0.25">
      <c r="A24" s="2" t="s">
        <v>55</v>
      </c>
      <c r="B24" s="3" t="s">
        <v>56</v>
      </c>
      <c r="C24" s="4">
        <v>3</v>
      </c>
      <c r="D24" s="8">
        <v>3</v>
      </c>
      <c r="E24" s="4">
        <v>0</v>
      </c>
      <c r="F24" s="4">
        <v>3</v>
      </c>
    </row>
    <row r="25" spans="1:6" ht="23.25" customHeight="1" x14ac:dyDescent="0.25">
      <c r="A25" s="2" t="s">
        <v>57</v>
      </c>
      <c r="B25" s="3" t="s">
        <v>58</v>
      </c>
      <c r="C25" s="4">
        <v>4</v>
      </c>
      <c r="D25" s="8">
        <v>4</v>
      </c>
      <c r="E25" s="4">
        <v>0</v>
      </c>
      <c r="F25" s="4">
        <v>3</v>
      </c>
    </row>
    <row r="26" spans="1:6" ht="15" customHeight="1" x14ac:dyDescent="0.25">
      <c r="A26" s="2" t="s">
        <v>59</v>
      </c>
      <c r="B26" s="3" t="s">
        <v>60</v>
      </c>
      <c r="C26" s="4">
        <v>3</v>
      </c>
      <c r="D26" s="8">
        <v>3</v>
      </c>
      <c r="E26" s="4">
        <v>0</v>
      </c>
      <c r="F26" s="4">
        <v>3</v>
      </c>
    </row>
    <row r="27" spans="1:6" ht="15" customHeight="1" x14ac:dyDescent="0.25">
      <c r="A27" s="2" t="s">
        <v>61</v>
      </c>
      <c r="B27" s="3" t="s">
        <v>62</v>
      </c>
      <c r="C27" s="4">
        <v>4</v>
      </c>
      <c r="D27" s="8">
        <v>4</v>
      </c>
      <c r="E27" s="4">
        <v>0</v>
      </c>
      <c r="F27" s="4">
        <v>3</v>
      </c>
    </row>
    <row r="28" spans="1:6" ht="15" customHeight="1" x14ac:dyDescent="0.25">
      <c r="A28" s="2" t="s">
        <v>63</v>
      </c>
      <c r="B28" s="3" t="s">
        <v>64</v>
      </c>
      <c r="C28" s="4">
        <v>4</v>
      </c>
      <c r="D28" s="8">
        <v>4</v>
      </c>
      <c r="E28" s="4">
        <v>0</v>
      </c>
      <c r="F28" s="4">
        <v>3</v>
      </c>
    </row>
    <row r="29" spans="1:6" ht="15" customHeight="1" x14ac:dyDescent="0.25">
      <c r="A29" s="2" t="s">
        <v>65</v>
      </c>
      <c r="B29" s="3" t="s">
        <v>66</v>
      </c>
      <c r="C29" s="4">
        <v>3</v>
      </c>
      <c r="D29" s="8">
        <v>3</v>
      </c>
      <c r="E29" s="4">
        <v>0</v>
      </c>
      <c r="F29" s="4">
        <v>3</v>
      </c>
    </row>
    <row r="30" spans="1:6" ht="15" customHeight="1" x14ac:dyDescent="0.25">
      <c r="A30" s="2" t="s">
        <v>67</v>
      </c>
      <c r="B30" s="3" t="s">
        <v>68</v>
      </c>
      <c r="C30" s="4">
        <v>3</v>
      </c>
      <c r="D30" s="8">
        <v>3</v>
      </c>
      <c r="E30" s="4">
        <v>0</v>
      </c>
      <c r="F30" s="4">
        <v>3</v>
      </c>
    </row>
    <row r="31" spans="1:6" ht="15" customHeight="1" x14ac:dyDescent="0.25">
      <c r="A31" s="2" t="s">
        <v>69</v>
      </c>
      <c r="B31" s="3" t="s">
        <v>70</v>
      </c>
      <c r="C31" s="4">
        <v>3</v>
      </c>
      <c r="D31" s="8">
        <v>3</v>
      </c>
      <c r="E31" s="4">
        <v>0</v>
      </c>
      <c r="F31" s="4">
        <v>3</v>
      </c>
    </row>
    <row r="32" spans="1:6" ht="15" customHeight="1" x14ac:dyDescent="0.25">
      <c r="A32" s="2" t="s">
        <v>71</v>
      </c>
      <c r="B32" s="3" t="s">
        <v>72</v>
      </c>
      <c r="C32" s="4">
        <v>3</v>
      </c>
      <c r="D32" s="8">
        <v>3</v>
      </c>
      <c r="E32" s="4">
        <v>0</v>
      </c>
      <c r="F32" s="4">
        <v>3</v>
      </c>
    </row>
    <row r="33" spans="1:6" ht="15" customHeight="1" x14ac:dyDescent="0.25">
      <c r="A33" s="2" t="s">
        <v>73</v>
      </c>
      <c r="B33" s="3" t="s">
        <v>74</v>
      </c>
      <c r="C33" s="4">
        <v>4</v>
      </c>
      <c r="D33" s="8">
        <v>4</v>
      </c>
      <c r="E33" s="5">
        <v>0</v>
      </c>
      <c r="F33" s="4">
        <v>3</v>
      </c>
    </row>
    <row r="34" spans="1:6" ht="15" customHeight="1" x14ac:dyDescent="0.25">
      <c r="A34" s="2" t="s">
        <v>75</v>
      </c>
      <c r="B34" s="3" t="s">
        <v>76</v>
      </c>
      <c r="C34" s="4">
        <v>3</v>
      </c>
      <c r="D34" s="8">
        <v>3</v>
      </c>
      <c r="E34" s="4">
        <v>0</v>
      </c>
      <c r="F34" s="4">
        <v>3</v>
      </c>
    </row>
    <row r="35" spans="1:6" ht="15" customHeight="1" x14ac:dyDescent="0.25">
      <c r="A35" s="2" t="s">
        <v>77</v>
      </c>
      <c r="B35" s="3" t="s">
        <v>78</v>
      </c>
      <c r="C35" s="4">
        <v>4</v>
      </c>
      <c r="D35" s="8">
        <v>4</v>
      </c>
      <c r="E35" s="4">
        <v>0</v>
      </c>
      <c r="F35" s="4">
        <v>3</v>
      </c>
    </row>
    <row r="36" spans="1:6" ht="15" customHeight="1" x14ac:dyDescent="0.25">
      <c r="A36" s="2" t="s">
        <v>79</v>
      </c>
      <c r="B36" s="3" t="s">
        <v>80</v>
      </c>
      <c r="C36" s="4">
        <v>3</v>
      </c>
      <c r="D36" s="8">
        <v>3</v>
      </c>
      <c r="E36" s="4">
        <v>0</v>
      </c>
      <c r="F36" s="4">
        <v>3</v>
      </c>
    </row>
    <row r="37" spans="1:6" ht="15" customHeight="1" x14ac:dyDescent="0.25">
      <c r="A37" s="2" t="s">
        <v>81</v>
      </c>
      <c r="B37" s="3" t="s">
        <v>82</v>
      </c>
      <c r="C37" s="4">
        <v>3</v>
      </c>
      <c r="D37" s="8">
        <v>3</v>
      </c>
      <c r="E37" s="4">
        <v>0</v>
      </c>
      <c r="F37" s="4">
        <v>3</v>
      </c>
    </row>
    <row r="38" spans="1:6" ht="15" customHeight="1" x14ac:dyDescent="0.25">
      <c r="A38" s="2" t="s">
        <v>83</v>
      </c>
      <c r="B38" s="3" t="s">
        <v>84</v>
      </c>
      <c r="C38" s="4">
        <v>3</v>
      </c>
      <c r="D38" s="8">
        <v>3</v>
      </c>
      <c r="E38" s="4">
        <v>0</v>
      </c>
      <c r="F38" s="4">
        <v>3</v>
      </c>
    </row>
    <row r="39" spans="1:6" ht="15" customHeight="1" x14ac:dyDescent="0.25">
      <c r="A39" s="2" t="s">
        <v>85</v>
      </c>
      <c r="B39" s="3" t="s">
        <v>86</v>
      </c>
      <c r="C39" s="4">
        <v>4</v>
      </c>
      <c r="D39" s="8">
        <v>4</v>
      </c>
      <c r="E39" s="4">
        <v>0</v>
      </c>
      <c r="F39" s="4">
        <v>3</v>
      </c>
    </row>
    <row r="40" spans="1:6" ht="15" customHeight="1" x14ac:dyDescent="0.25">
      <c r="A40" s="2" t="s">
        <v>87</v>
      </c>
      <c r="B40" s="3" t="s">
        <v>88</v>
      </c>
      <c r="C40" s="4">
        <v>3</v>
      </c>
      <c r="D40" s="4">
        <v>1</v>
      </c>
      <c r="E40" s="5">
        <v>2</v>
      </c>
      <c r="F40" s="4">
        <v>3</v>
      </c>
    </row>
    <row r="41" spans="1:6" ht="15" customHeight="1" x14ac:dyDescent="0.25">
      <c r="A41" s="2" t="s">
        <v>89</v>
      </c>
      <c r="B41" s="3" t="s">
        <v>90</v>
      </c>
      <c r="C41" s="4">
        <v>3</v>
      </c>
      <c r="D41" s="4">
        <v>1</v>
      </c>
      <c r="E41" s="5">
        <v>2</v>
      </c>
      <c r="F41" s="4">
        <v>3</v>
      </c>
    </row>
    <row r="42" spans="1:6" ht="15" customHeight="1" x14ac:dyDescent="0.25">
      <c r="A42" s="2" t="s">
        <v>91</v>
      </c>
      <c r="B42" s="3" t="s">
        <v>92</v>
      </c>
      <c r="C42" s="4">
        <v>4</v>
      </c>
      <c r="D42" s="8">
        <v>4</v>
      </c>
      <c r="E42" s="4">
        <v>0</v>
      </c>
      <c r="F42" s="4">
        <v>3</v>
      </c>
    </row>
    <row r="43" spans="1:6" ht="15" customHeight="1" x14ac:dyDescent="0.25">
      <c r="A43" s="2" t="s">
        <v>93</v>
      </c>
      <c r="B43" s="3" t="s">
        <v>94</v>
      </c>
      <c r="C43" s="4">
        <v>3</v>
      </c>
      <c r="D43" s="8">
        <v>3</v>
      </c>
      <c r="E43" s="4">
        <v>0</v>
      </c>
      <c r="F43" s="4">
        <v>3</v>
      </c>
    </row>
    <row r="44" spans="1:6" ht="15" customHeight="1" x14ac:dyDescent="0.25">
      <c r="A44" s="2" t="s">
        <v>95</v>
      </c>
      <c r="B44" s="3" t="s">
        <v>96</v>
      </c>
      <c r="C44" s="4">
        <v>4</v>
      </c>
      <c r="D44" s="8">
        <v>4</v>
      </c>
      <c r="E44" s="4">
        <v>0</v>
      </c>
      <c r="F44" s="4">
        <v>3</v>
      </c>
    </row>
    <row r="45" spans="1:6" ht="15" customHeight="1" x14ac:dyDescent="0.25">
      <c r="A45" s="2" t="s">
        <v>97</v>
      </c>
      <c r="B45" s="3" t="s">
        <v>98</v>
      </c>
      <c r="C45" s="4">
        <v>3</v>
      </c>
      <c r="D45" s="8">
        <v>3</v>
      </c>
      <c r="E45" s="4">
        <v>0</v>
      </c>
      <c r="F45" s="4">
        <v>3</v>
      </c>
    </row>
    <row r="46" spans="1:6" ht="15" customHeight="1" x14ac:dyDescent="0.25">
      <c r="A46" s="2" t="s">
        <v>99</v>
      </c>
      <c r="B46" s="3" t="s">
        <v>100</v>
      </c>
      <c r="C46" s="4">
        <v>3</v>
      </c>
      <c r="D46" s="8">
        <v>3</v>
      </c>
      <c r="E46" s="4">
        <v>0</v>
      </c>
      <c r="F46" s="4">
        <v>3</v>
      </c>
    </row>
    <row r="47" spans="1:6" ht="15" customHeight="1" x14ac:dyDescent="0.25">
      <c r="A47" s="2" t="s">
        <v>101</v>
      </c>
      <c r="B47" s="3" t="s">
        <v>102</v>
      </c>
      <c r="C47" s="4">
        <v>2</v>
      </c>
      <c r="D47" s="8">
        <v>2</v>
      </c>
      <c r="E47" s="4">
        <v>0</v>
      </c>
      <c r="F47" s="4">
        <v>3</v>
      </c>
    </row>
    <row r="48" spans="1:6" ht="15" customHeight="1" x14ac:dyDescent="0.25">
      <c r="A48" s="2" t="s">
        <v>103</v>
      </c>
      <c r="B48" s="3" t="s">
        <v>104</v>
      </c>
      <c r="C48" s="4">
        <v>3</v>
      </c>
      <c r="D48" s="8">
        <v>3</v>
      </c>
      <c r="E48" s="4">
        <v>0</v>
      </c>
      <c r="F48" s="4">
        <v>3</v>
      </c>
    </row>
    <row r="49" spans="1:6" ht="15" customHeight="1" x14ac:dyDescent="0.25">
      <c r="A49" s="2" t="s">
        <v>105</v>
      </c>
      <c r="B49" s="3" t="s">
        <v>106</v>
      </c>
      <c r="C49" s="4">
        <v>3</v>
      </c>
      <c r="D49" s="8">
        <v>3</v>
      </c>
      <c r="E49" s="4">
        <v>0</v>
      </c>
      <c r="F49" s="4">
        <v>3</v>
      </c>
    </row>
    <row r="50" spans="1:6" ht="15" customHeight="1" x14ac:dyDescent="0.25">
      <c r="A50" s="2" t="s">
        <v>107</v>
      </c>
      <c r="B50" s="3" t="s">
        <v>108</v>
      </c>
      <c r="C50" s="4">
        <v>3</v>
      </c>
      <c r="D50" s="8">
        <v>3</v>
      </c>
      <c r="E50" s="4">
        <v>0</v>
      </c>
      <c r="F50" s="4">
        <v>3</v>
      </c>
    </row>
    <row r="51" spans="1:6" ht="15" customHeight="1" x14ac:dyDescent="0.25">
      <c r="A51" s="2" t="s">
        <v>109</v>
      </c>
      <c r="B51" s="3" t="s">
        <v>110</v>
      </c>
      <c r="C51" s="4">
        <v>3</v>
      </c>
      <c r="D51" s="8">
        <v>3</v>
      </c>
      <c r="E51" s="4">
        <v>0</v>
      </c>
      <c r="F51" s="4">
        <v>3</v>
      </c>
    </row>
    <row r="52" spans="1:6" ht="15" customHeight="1" x14ac:dyDescent="0.25"/>
    <row r="53" spans="1:6" ht="15" customHeight="1" x14ac:dyDescent="0.25"/>
  </sheetData>
  <mergeCells count="1">
    <mergeCell ref="H1:I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zoomScaleNormal="100" workbookViewId="0">
      <selection activeCell="M20" sqref="M20"/>
    </sheetView>
  </sheetViews>
  <sheetFormatPr defaultColWidth="8.7109375" defaultRowHeight="15" x14ac:dyDescent="0.25"/>
  <cols>
    <col min="1" max="3" width="14" customWidth="1"/>
  </cols>
  <sheetData>
    <row r="1" spans="1:3" x14ac:dyDescent="0.25">
      <c r="A1" s="1" t="s">
        <v>5</v>
      </c>
      <c r="B1" s="1" t="s">
        <v>113</v>
      </c>
      <c r="C1" s="1" t="s">
        <v>114</v>
      </c>
    </row>
    <row r="2" spans="1:3" x14ac:dyDescent="0.25">
      <c r="A2" s="4" t="s">
        <v>115</v>
      </c>
      <c r="B2" s="4">
        <v>80</v>
      </c>
      <c r="C2" s="4">
        <v>78</v>
      </c>
    </row>
    <row r="3" spans="1:3" x14ac:dyDescent="0.25">
      <c r="A3" s="4" t="s">
        <v>116</v>
      </c>
      <c r="B3" s="4">
        <v>107</v>
      </c>
      <c r="C3" s="4">
        <v>51</v>
      </c>
    </row>
    <row r="4" spans="1:3" x14ac:dyDescent="0.25">
      <c r="A4" s="4" t="s">
        <v>117</v>
      </c>
      <c r="B4" s="4">
        <v>153</v>
      </c>
      <c r="C4" s="4">
        <v>5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Iteración 1</vt:lpstr>
      <vt:lpstr>Iteración 2</vt:lpstr>
      <vt:lpstr>Iteración 3</vt:lpstr>
      <vt:lpstr>Comparativo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Omar Olmos</cp:lastModifiedBy>
  <cp:revision>1</cp:revision>
  <dcterms:created xsi:type="dcterms:W3CDTF">2026-09-13T20:12:38Z</dcterms:created>
  <dcterms:modified xsi:type="dcterms:W3CDTF">2026-09-13T22:01:19Z</dcterms:modified>
  <dc:language>en-US</dc:language>
</cp:coreProperties>
</file>